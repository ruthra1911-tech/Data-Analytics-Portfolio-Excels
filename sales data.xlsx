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84eb769f71961b5b/Pictures/Screenshots 1/aaaaa/"/>
    </mc:Choice>
  </mc:AlternateContent>
  <xr:revisionPtr revIDLastSave="1000" documentId="8_{78534F39-6C57-451F-937E-72D42351C7C2}" xr6:coauthVersionLast="47" xr6:coauthVersionMax="47" xr10:uidLastSave="{F9B2CEE3-65B9-4760-830F-2B85997D2498}"/>
  <bookViews>
    <workbookView xWindow="-120" yWindow="-120" windowWidth="20730" windowHeight="11040" activeTab="4" xr2:uid="{B2EF6D96-A6AE-4AF8-8908-A65166D47FFD}"/>
  </bookViews>
  <sheets>
    <sheet name="Sales data" sheetId="1" r:id="rId1"/>
    <sheet name="pivottable analysis" sheetId="10" r:id="rId2"/>
    <sheet name="Data" sheetId="2" r:id="rId3"/>
    <sheet name="Summary" sheetId="4" r:id="rId4"/>
    <sheet name="dashboard" sheetId="5" r:id="rId5"/>
  </sheets>
  <definedNames>
    <definedName name="NativeTimeline_Date">#N/A</definedName>
    <definedName name="Slicer_Months__Date">#N/A</definedName>
    <definedName name="Slicer_Product">#N/A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5" i="2" l="1"/>
  <c r="L76" i="2"/>
  <c r="L77" i="2"/>
  <c r="L78" i="2"/>
  <c r="L79" i="2"/>
  <c r="L80" i="2"/>
  <c r="L81" i="2"/>
  <c r="L59" i="2"/>
  <c r="L60" i="2"/>
  <c r="L61" i="2"/>
  <c r="L62" i="2"/>
  <c r="L63" i="2"/>
  <c r="L64" i="2"/>
  <c r="L65" i="2"/>
  <c r="L66" i="2"/>
  <c r="L67" i="2"/>
  <c r="L68" i="2"/>
  <c r="L69" i="2"/>
  <c r="L70" i="2"/>
  <c r="L71" i="2"/>
  <c r="L72" i="2"/>
  <c r="L73" i="2"/>
  <c r="L74" i="2"/>
  <c r="L46" i="2"/>
  <c r="L47" i="2"/>
  <c r="L48" i="2"/>
  <c r="L49" i="2"/>
  <c r="L50" i="2"/>
  <c r="L51" i="2"/>
  <c r="L52" i="2"/>
  <c r="L53" i="2"/>
  <c r="L54" i="2"/>
  <c r="L55" i="2"/>
  <c r="L56" i="2"/>
  <c r="L57" i="2"/>
  <c r="L58" i="2"/>
  <c r="L32" i="2"/>
  <c r="L33" i="2"/>
  <c r="L34" i="2"/>
  <c r="L35" i="2"/>
  <c r="L36" i="2"/>
  <c r="L37" i="2"/>
  <c r="L38" i="2"/>
  <c r="L39" i="2"/>
  <c r="L40" i="2"/>
  <c r="L41" i="2"/>
  <c r="L42" i="2"/>
  <c r="L43" i="2"/>
  <c r="L44" i="2"/>
  <c r="L45" i="2"/>
  <c r="L17" i="2"/>
  <c r="L18" i="2"/>
  <c r="L19" i="2"/>
  <c r="L20" i="2"/>
  <c r="L21" i="2"/>
  <c r="L22" i="2"/>
  <c r="L23" i="2"/>
  <c r="L24" i="2"/>
  <c r="L25" i="2"/>
  <c r="L26" i="2"/>
  <c r="L27" i="2"/>
  <c r="L28" i="2"/>
  <c r="L29" i="2"/>
  <c r="L30" i="2"/>
  <c r="L31" i="2"/>
  <c r="L3" i="2"/>
  <c r="L4" i="2"/>
  <c r="L5" i="2"/>
  <c r="L6" i="2"/>
  <c r="L7" i="2"/>
  <c r="L8" i="2"/>
  <c r="L9" i="2"/>
  <c r="L10" i="2"/>
  <c r="L11" i="2"/>
  <c r="L12" i="2"/>
  <c r="L13" i="2"/>
  <c r="L14" i="2"/>
  <c r="L15" i="2"/>
  <c r="L16" i="2"/>
  <c r="L2" i="2"/>
  <c r="D10" i="4" s="1" a="1"/>
  <c r="I2" i="4" a="1"/>
  <c r="I2" i="4" s="1"/>
  <c r="J2" i="4" s="1"/>
  <c r="B5" i="4" a="1"/>
  <c r="B5" i="4" s="1"/>
  <c r="E2" i="4"/>
  <c r="K77" i="2"/>
  <c r="J3" i="2"/>
  <c r="K3" i="2" s="1"/>
  <c r="J4" i="2"/>
  <c r="K4" i="2" s="1"/>
  <c r="J5" i="2"/>
  <c r="K5" i="2" s="1"/>
  <c r="J6" i="2"/>
  <c r="G2" i="4" s="1"/>
  <c r="J7" i="2"/>
  <c r="K7" i="2" s="1"/>
  <c r="J8" i="2"/>
  <c r="K8" i="2" s="1"/>
  <c r="J9" i="2"/>
  <c r="K9" i="2" s="1"/>
  <c r="J10" i="2"/>
  <c r="K10" i="2" s="1"/>
  <c r="J11" i="2"/>
  <c r="K11" i="2" s="1"/>
  <c r="J12" i="2"/>
  <c r="K12" i="2" s="1"/>
  <c r="J13" i="2"/>
  <c r="K13" i="2" s="1"/>
  <c r="J14" i="2"/>
  <c r="K14" i="2" s="1"/>
  <c r="J15" i="2"/>
  <c r="K15" i="2" s="1"/>
  <c r="J16" i="2"/>
  <c r="K16" i="2" s="1"/>
  <c r="J17" i="2"/>
  <c r="K17" i="2" s="1"/>
  <c r="J18" i="2"/>
  <c r="K18" i="2" s="1"/>
  <c r="J19" i="2"/>
  <c r="K19" i="2" s="1"/>
  <c r="J20" i="2"/>
  <c r="K20" i="2" s="1"/>
  <c r="J21" i="2"/>
  <c r="K21" i="2" s="1"/>
  <c r="J22" i="2"/>
  <c r="K22" i="2" s="1"/>
  <c r="J23" i="2"/>
  <c r="K23" i="2" s="1"/>
  <c r="J24" i="2"/>
  <c r="K24" i="2" s="1"/>
  <c r="J25" i="2"/>
  <c r="K25" i="2" s="1"/>
  <c r="J26" i="2"/>
  <c r="K26" i="2" s="1"/>
  <c r="J27" i="2"/>
  <c r="K27" i="2" s="1"/>
  <c r="J28" i="2"/>
  <c r="K28" i="2" s="1"/>
  <c r="J29" i="2"/>
  <c r="K29" i="2" s="1"/>
  <c r="J30" i="2"/>
  <c r="K30" i="2" s="1"/>
  <c r="J31" i="2"/>
  <c r="K31" i="2" s="1"/>
  <c r="J32" i="2"/>
  <c r="K32" i="2" s="1"/>
  <c r="J33" i="2"/>
  <c r="K33" i="2" s="1"/>
  <c r="J34" i="2"/>
  <c r="K34" i="2" s="1"/>
  <c r="J35" i="2"/>
  <c r="K35" i="2" s="1"/>
  <c r="J36" i="2"/>
  <c r="K36" i="2" s="1"/>
  <c r="J37" i="2"/>
  <c r="K37" i="2" s="1"/>
  <c r="J38" i="2"/>
  <c r="K38" i="2" s="1"/>
  <c r="J39" i="2"/>
  <c r="K39" i="2" s="1"/>
  <c r="J40" i="2"/>
  <c r="K40" i="2" s="1"/>
  <c r="J41" i="2"/>
  <c r="K41" i="2" s="1"/>
  <c r="J42" i="2"/>
  <c r="K42" i="2" s="1"/>
  <c r="J43" i="2"/>
  <c r="K43" i="2" s="1"/>
  <c r="J44" i="2"/>
  <c r="K44" i="2" s="1"/>
  <c r="J45" i="2"/>
  <c r="K45" i="2" s="1"/>
  <c r="J46" i="2"/>
  <c r="K46" i="2" s="1"/>
  <c r="J47" i="2"/>
  <c r="K47" i="2" s="1"/>
  <c r="J48" i="2"/>
  <c r="K48" i="2" s="1"/>
  <c r="J49" i="2"/>
  <c r="K49" i="2" s="1"/>
  <c r="J50" i="2"/>
  <c r="K50" i="2" s="1"/>
  <c r="J51" i="2"/>
  <c r="K51" i="2" s="1"/>
  <c r="J52" i="2"/>
  <c r="K52" i="2" s="1"/>
  <c r="J53" i="2"/>
  <c r="K53" i="2" s="1"/>
  <c r="J54" i="2"/>
  <c r="K54" i="2" s="1"/>
  <c r="J55" i="2"/>
  <c r="K55" i="2" s="1"/>
  <c r="J56" i="2"/>
  <c r="K56" i="2" s="1"/>
  <c r="J57" i="2"/>
  <c r="K57" i="2" s="1"/>
  <c r="J58" i="2"/>
  <c r="K58" i="2" s="1"/>
  <c r="J59" i="2"/>
  <c r="K59" i="2" s="1"/>
  <c r="J60" i="2"/>
  <c r="K60" i="2" s="1"/>
  <c r="J61" i="2"/>
  <c r="K61" i="2" s="1"/>
  <c r="J62" i="2"/>
  <c r="K62" i="2" s="1"/>
  <c r="J63" i="2"/>
  <c r="K63" i="2" s="1"/>
  <c r="J64" i="2"/>
  <c r="K64" i="2" s="1"/>
  <c r="J65" i="2"/>
  <c r="K65" i="2" s="1"/>
  <c r="J66" i="2"/>
  <c r="K66" i="2" s="1"/>
  <c r="J67" i="2"/>
  <c r="K67" i="2" s="1"/>
  <c r="J68" i="2"/>
  <c r="K68" i="2" s="1"/>
  <c r="J69" i="2"/>
  <c r="K69" i="2" s="1"/>
  <c r="J70" i="2"/>
  <c r="K70" i="2" s="1"/>
  <c r="J71" i="2"/>
  <c r="K71" i="2" s="1"/>
  <c r="J72" i="2"/>
  <c r="K72" i="2" s="1"/>
  <c r="J73" i="2"/>
  <c r="K73" i="2" s="1"/>
  <c r="J74" i="2"/>
  <c r="K74" i="2" s="1"/>
  <c r="J75" i="2"/>
  <c r="K75" i="2" s="1"/>
  <c r="J76" i="2"/>
  <c r="K76" i="2" s="1"/>
  <c r="J77" i="2"/>
  <c r="J78" i="2"/>
  <c r="K78" i="2" s="1"/>
  <c r="J79" i="2"/>
  <c r="K79" i="2" s="1"/>
  <c r="J80" i="2"/>
  <c r="K80" i="2" s="1"/>
  <c r="J81" i="2"/>
  <c r="K81" i="2" s="1"/>
  <c r="J2" i="2"/>
  <c r="B2" i="4" s="1"/>
  <c r="D10" i="4" l="1"/>
  <c r="E10" i="4" s="1"/>
  <c r="E11" i="4"/>
  <c r="E12" i="4"/>
  <c r="F12" i="4" s="1"/>
  <c r="K6" i="2"/>
  <c r="F2" i="4"/>
  <c r="K2" i="2"/>
  <c r="F11" i="4"/>
  <c r="J12" i="4"/>
  <c r="J4" i="4"/>
  <c r="J19" i="4"/>
  <c r="J29" i="4"/>
  <c r="J11" i="4"/>
  <c r="J3" i="4"/>
  <c r="J18" i="4"/>
  <c r="J28" i="4"/>
  <c r="J10" i="4"/>
  <c r="J25" i="4"/>
  <c r="J17" i="4"/>
  <c r="J27" i="4"/>
  <c r="J9" i="4"/>
  <c r="J24" i="4"/>
  <c r="J16" i="4"/>
  <c r="J26" i="4"/>
  <c r="J8" i="4"/>
  <c r="J23" i="4"/>
  <c r="J33" i="4"/>
  <c r="J35" i="4"/>
  <c r="J34" i="4"/>
  <c r="J7" i="4"/>
  <c r="J22" i="4"/>
  <c r="J14" i="4"/>
  <c r="J6" i="4"/>
  <c r="J21" i="4"/>
  <c r="J31" i="4"/>
  <c r="J15" i="4"/>
  <c r="J32" i="4"/>
  <c r="J13" i="4"/>
  <c r="J5" i="4"/>
  <c r="J20" i="4"/>
  <c r="J30" i="4"/>
  <c r="D2" i="4" l="1"/>
  <c r="C2" i="4"/>
  <c r="F10" i="4"/>
  <c r="D6" i="4"/>
  <c r="F6" i="4" s="1" a="1"/>
  <c r="F6"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<sst xmlns="http://schemas.openxmlformats.org/spreadsheetml/2006/main" count="718" uniqueCount="81">
  <si>
    <t>Order_ID</t>
  </si>
  <si>
    <t>Date</t>
  </si>
  <si>
    <t>Region</t>
  </si>
  <si>
    <t>Salesperson</t>
  </si>
  <si>
    <t>Product</t>
  </si>
  <si>
    <t>Category</t>
  </si>
  <si>
    <t>Units</t>
  </si>
  <si>
    <t>Unit_Price</t>
  </si>
  <si>
    <t>Revenue</t>
  </si>
  <si>
    <t>Cost</t>
  </si>
  <si>
    <t>North</t>
  </si>
  <si>
    <t>John</t>
  </si>
  <si>
    <t>Laptop</t>
  </si>
  <si>
    <t>Electronics</t>
  </si>
  <si>
    <t>South</t>
  </si>
  <si>
    <t>Sarah</t>
  </si>
  <si>
    <t>Mobile</t>
  </si>
  <si>
    <t>East</t>
  </si>
  <si>
    <t>David</t>
  </si>
  <si>
    <t>Printer</t>
  </si>
  <si>
    <t>Office Supplies</t>
  </si>
  <si>
    <t>West</t>
  </si>
  <si>
    <t>Emily</t>
  </si>
  <si>
    <t>Desk Chair</t>
  </si>
  <si>
    <t>Furniture</t>
  </si>
  <si>
    <t>Tablet</t>
  </si>
  <si>
    <t>Monitor</t>
  </si>
  <si>
    <t>Keyboard</t>
  </si>
  <si>
    <t>Office Desk</t>
  </si>
  <si>
    <t>Headphones</t>
  </si>
  <si>
    <t>Bookshelf</t>
  </si>
  <si>
    <t>Scanner</t>
  </si>
  <si>
    <t>Smartwatch</t>
  </si>
  <si>
    <t>Router</t>
  </si>
  <si>
    <t>Cabinet</t>
  </si>
  <si>
    <t>Sofa</t>
  </si>
  <si>
    <t>Lamp</t>
  </si>
  <si>
    <t>Mouse</t>
  </si>
  <si>
    <t>Projector</t>
  </si>
  <si>
    <t>Notebook</t>
  </si>
  <si>
    <t>Cupboard</t>
  </si>
  <si>
    <t>Camera</t>
  </si>
  <si>
    <t>Fan</t>
  </si>
  <si>
    <t>Stapler</t>
  </si>
  <si>
    <t>Whiteboard</t>
  </si>
  <si>
    <t>TV</t>
  </si>
  <si>
    <t>AC</t>
  </si>
  <si>
    <t>Table</t>
  </si>
  <si>
    <t>Chair</t>
  </si>
  <si>
    <t>Speaker</t>
  </si>
  <si>
    <t>Hard Drive</t>
  </si>
  <si>
    <t>Pen Pack</t>
  </si>
  <si>
    <t>Drawer</t>
  </si>
  <si>
    <t>Smartphone</t>
  </si>
  <si>
    <t>Desk</t>
  </si>
  <si>
    <t>profit</t>
  </si>
  <si>
    <t>Total Revenue</t>
  </si>
  <si>
    <t>Total profit</t>
  </si>
  <si>
    <t>profit marigin %</t>
  </si>
  <si>
    <t>Unit total sold</t>
  </si>
  <si>
    <t>Revenue by region</t>
  </si>
  <si>
    <t>Dynamic region</t>
  </si>
  <si>
    <t>Unique products</t>
  </si>
  <si>
    <t>Total revenue</t>
  </si>
  <si>
    <t>max sales</t>
  </si>
  <si>
    <t>Unique region</t>
  </si>
  <si>
    <t>Best spelling product</t>
  </si>
  <si>
    <t>Month helper col</t>
  </si>
  <si>
    <t>Monthly revenue</t>
  </si>
  <si>
    <t>month helper</t>
  </si>
  <si>
    <t>month growth %</t>
  </si>
  <si>
    <t>Grand Total</t>
  </si>
  <si>
    <t>Sum of Revenue</t>
  </si>
  <si>
    <t>Jan</t>
  </si>
  <si>
    <t>Feb</t>
  </si>
  <si>
    <t>Mar</t>
  </si>
  <si>
    <t>Sum of profit</t>
  </si>
  <si>
    <t>2025</t>
  </si>
  <si>
    <t>Month</t>
  </si>
  <si>
    <t>Sum of Units</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</si>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</sst>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Aptos Narrow"/>
      <family val="2"/>
      <scheme val="minor"/>
    </font>
    <font>
      <sz val="11"/>
      <color theme="1"/>
      <name val="Aptos Narrow"/>
      <family val="2"/>
      <scheme val="minor"/>
    </font>
    <font>
      <b/>
      <sz val="11"/>
      <color theme="4" tint="-0.249977111117893"/>
      <name val="Aptos Narrow"/>
      <family val="2"/>
      <scheme val="minor"/>
    </font>
    <font>
      <sz val="11"/>
      <color theme="4" tint="-0.249977111117893"/>
      <name val="Aptos Narrow"/>
      <family val="2"/>
      <scheme val="minor"/>
    </font>
    <font>
      <b/>
      <sz val="11"/>
      <color theme="0"/>
      <name val="Aptos Narrow"/>
      <family val="2"/>
      <scheme val="minor"/>
    </font>
    <font>
      <sz val="12"/>
      <color theme="1"/>
      <name val="Aptos"/>
      <family val="2"/>
    </font>
    <font>
      <sz val="16"/>
      <color theme="0"/>
      <name val="Aptos Narrow"/>
      <family val="2"/>
      <scheme val="minor"/>
    </font>
  </fonts>
  <fills count="15">
    <fill>
      <patternFill patternType="none"/>
    </fill>
    <fill>
      <patternFill patternType="gray125"/>
    </fill>
    <fill>
      <patternFill patternType="solid">
        <fgColor theme="4" tint="0.79998168889431442"/>
        <bgColor theme="4" tint="0.79998168889431442"/>
      </patternFill>
    </fill>
    <fill>
      <patternFill patternType="solid">
        <fgColor theme="5" tint="0.39997558519241921"/>
        <bgColor indexed="64"/>
      </patternFill>
    </fill>
    <fill>
      <patternFill patternType="solid">
        <fgColor theme="5"/>
        <bgColor theme="5"/>
      </patternFill>
    </fill>
    <fill>
      <patternFill patternType="solid">
        <fgColor theme="7"/>
        <bgColor theme="7"/>
      </patternFill>
    </fill>
    <fill>
      <patternFill patternType="solid">
        <fgColor theme="4"/>
        <bgColor theme="4"/>
      </patternFill>
    </fill>
    <fill>
      <patternFill patternType="solid">
        <fgColor theme="1"/>
        <bgColor indexed="64"/>
      </patternFill>
    </fill>
    <fill>
      <patternFill patternType="solid">
        <fgColor theme="6" tint="0.79998168889431442"/>
        <bgColor theme="6" tint="0.79998168889431442"/>
      </patternFill>
    </fill>
    <fill>
      <patternFill patternType="solid">
        <fgColor theme="8" tint="0.59999389629810485"/>
        <bgColor theme="8" tint="0.59999389629810485"/>
      </patternFill>
    </fill>
    <fill>
      <patternFill patternType="solid">
        <fgColor theme="8" tint="0.79998168889431442"/>
        <bgColor theme="8" tint="0.79998168889431442"/>
      </patternFill>
    </fill>
    <fill>
      <patternFill patternType="solid">
        <fgColor theme="8"/>
        <bgColor theme="8"/>
      </patternFill>
    </fill>
    <fill>
      <patternFill patternType="solid">
        <fgColor theme="6" tint="0.59999389629810485"/>
        <bgColor theme="6" tint="0.59999389629810485"/>
      </patternFill>
    </fill>
    <fill>
      <patternFill patternType="solid">
        <fgColor theme="3" tint="0.89999084444715716"/>
        <bgColor indexed="64"/>
      </patternFill>
    </fill>
    <fill>
      <patternFill patternType="solid">
        <fgColor theme="4" tint="-0.249977111117893"/>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theme="4"/>
      </top>
      <bottom style="thin">
        <color theme="4"/>
      </bottom>
      <diagonal/>
    </border>
    <border>
      <left/>
      <right/>
      <top style="thin">
        <color theme="4"/>
      </top>
      <bottom/>
      <diagonal/>
    </border>
    <border>
      <left style="thin">
        <color theme="8"/>
      </left>
      <right style="thin">
        <color theme="8"/>
      </right>
      <top style="thin">
        <color theme="8"/>
      </top>
      <bottom style="thin">
        <color theme="8"/>
      </bottom>
      <diagonal/>
    </border>
    <border>
      <left style="thin">
        <color theme="8"/>
      </left>
      <right style="thin">
        <color theme="8"/>
      </right>
      <top style="thin">
        <color theme="8"/>
      </top>
      <bottom/>
      <diagonal/>
    </border>
    <border>
      <left style="thin">
        <color indexed="64"/>
      </left>
      <right/>
      <top/>
      <bottom/>
      <diagonal/>
    </border>
    <border>
      <left style="thin">
        <color theme="0"/>
      </left>
      <right/>
      <top style="thin">
        <color theme="0"/>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indexed="64"/>
      </left>
      <right/>
      <top style="thick">
        <color theme="0"/>
      </top>
      <bottom/>
      <diagonal/>
    </border>
    <border>
      <left style="thin">
        <color indexed="64"/>
      </left>
      <right/>
      <top style="thin">
        <color theme="0"/>
      </top>
      <bottom/>
      <diagonal/>
    </border>
  </borders>
  <cellStyleXfs count="2">
    <xf numFmtId="0" fontId="0" fillId="0" borderId="0"/>
    <xf numFmtId="9" fontId="1" fillId="0" borderId="0" applyFont="0" applyFill="0" applyBorder="0" applyAlignment="0" applyProtection="0"/>
  </cellStyleXfs>
  <cellXfs count="65">
    <xf numFmtId="0" fontId="0" fillId="0" borderId="0" xfId="0"/>
    <xf numFmtId="0" fontId="3" fillId="2" borderId="1" xfId="0" applyFont="1" applyFill="1" applyBorder="1" applyAlignment="1">
      <alignment horizontal="center" wrapText="1"/>
    </xf>
    <xf numFmtId="15" fontId="3" fillId="2" borderId="1" xfId="0" applyNumberFormat="1" applyFont="1" applyFill="1" applyBorder="1" applyAlignment="1">
      <alignment horizontal="center" wrapText="1"/>
    </xf>
    <xf numFmtId="0" fontId="3" fillId="0" borderId="1" xfId="0" applyFont="1" applyBorder="1" applyAlignment="1">
      <alignment horizontal="center" wrapText="1"/>
    </xf>
    <xf numFmtId="15" fontId="3" fillId="0" borderId="1" xfId="0" applyNumberFormat="1" applyFont="1" applyBorder="1" applyAlignment="1">
      <alignment horizontal="center" wrapText="1"/>
    </xf>
    <xf numFmtId="0" fontId="2" fillId="3" borderId="1" xfId="0" applyFont="1" applyFill="1" applyBorder="1" applyAlignment="1">
      <alignment horizontal="center" wrapText="1"/>
    </xf>
    <xf numFmtId="0" fontId="2" fillId="3" borderId="2" xfId="0" applyFont="1" applyFill="1" applyBorder="1" applyAlignment="1">
      <alignment horizontal="center" wrapText="1"/>
    </xf>
    <xf numFmtId="0" fontId="2" fillId="3" borderId="3" xfId="0" applyFont="1" applyFill="1" applyBorder="1" applyAlignment="1">
      <alignment horizontal="center" wrapText="1"/>
    </xf>
    <xf numFmtId="0" fontId="3" fillId="2" borderId="3" xfId="0" applyFont="1" applyFill="1" applyBorder="1" applyAlignment="1">
      <alignment horizontal="center" wrapText="1"/>
    </xf>
    <xf numFmtId="0" fontId="3" fillId="0" borderId="3" xfId="0" applyFont="1" applyBorder="1" applyAlignment="1">
      <alignment horizontal="center" wrapText="1"/>
    </xf>
    <xf numFmtId="0" fontId="2" fillId="3" borderId="1" xfId="0" applyFont="1" applyFill="1" applyBorder="1" applyAlignment="1">
      <alignment horizontal="center" vertical="center" wrapText="1"/>
    </xf>
    <xf numFmtId="0" fontId="3" fillId="2" borderId="1" xfId="0" applyFont="1" applyFill="1" applyBorder="1" applyAlignment="1">
      <alignment vertical="center" wrapText="1"/>
    </xf>
    <xf numFmtId="0" fontId="3" fillId="0" borderId="1" xfId="0" applyFont="1" applyBorder="1" applyAlignment="1">
      <alignment vertical="center" wrapText="1"/>
    </xf>
    <xf numFmtId="0" fontId="4" fillId="4" borderId="6" xfId="0" applyFont="1" applyFill="1" applyBorder="1" applyAlignment="1">
      <alignment horizontal="center" vertical="center"/>
    </xf>
    <xf numFmtId="0" fontId="4" fillId="4" borderId="5" xfId="0" applyFont="1" applyFill="1"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xf>
    <xf numFmtId="0" fontId="4" fillId="5" borderId="6" xfId="0" applyFont="1" applyFill="1" applyBorder="1" applyAlignment="1">
      <alignment horizontal="center" vertical="center"/>
    </xf>
    <xf numFmtId="0" fontId="4" fillId="5" borderId="5" xfId="0" applyFont="1" applyFill="1"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2" fillId="0" borderId="8" xfId="0" applyFont="1" applyBorder="1" applyAlignment="1">
      <alignment horizontal="center" vertical="center"/>
    </xf>
    <xf numFmtId="0" fontId="3" fillId="2" borderId="7" xfId="0" applyFont="1" applyFill="1" applyBorder="1" applyAlignment="1">
      <alignment horizontal="center" vertical="center"/>
    </xf>
    <xf numFmtId="0" fontId="4" fillId="7" borderId="10" xfId="0" applyFont="1" applyFill="1" applyBorder="1" applyAlignment="1">
      <alignment horizontal="center" vertical="center"/>
    </xf>
    <xf numFmtId="0" fontId="0" fillId="0" borderId="0" xfId="0"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pivotButton="1" applyAlignment="1">
      <alignment horizontal="center" vertical="center"/>
    </xf>
    <xf numFmtId="0" fontId="0" fillId="2" borderId="3" xfId="0" applyFill="1" applyBorder="1" applyAlignment="1">
      <alignment horizontal="center" vertical="center"/>
    </xf>
    <xf numFmtId="9" fontId="0" fillId="2" borderId="3" xfId="1" applyFont="1" applyFill="1" applyBorder="1" applyAlignment="1">
      <alignment horizontal="center" vertical="center"/>
    </xf>
    <xf numFmtId="0" fontId="5" fillId="2" borderId="3" xfId="0" applyFont="1" applyFill="1" applyBorder="1" applyAlignment="1">
      <alignment horizontal="center" vertical="center"/>
    </xf>
    <xf numFmtId="0" fontId="0" fillId="2" borderId="1" xfId="0" applyFill="1" applyBorder="1" applyAlignment="1">
      <alignment horizontal="center" vertical="center"/>
    </xf>
    <xf numFmtId="0" fontId="0" fillId="8" borderId="10" xfId="0" applyFill="1" applyBorder="1" applyAlignment="1">
      <alignment horizontal="center" vertical="center"/>
    </xf>
    <xf numFmtId="0" fontId="0" fillId="0" borderId="10" xfId="0" applyBorder="1" applyAlignment="1">
      <alignment horizontal="center" vertical="center"/>
    </xf>
    <xf numFmtId="0" fontId="0" fillId="0" borderId="9" xfId="0" applyBorder="1" applyAlignment="1">
      <alignment horizontal="center" vertical="center"/>
    </xf>
    <xf numFmtId="0" fontId="4" fillId="11" borderId="0" xfId="0" applyFont="1" applyFill="1"/>
    <xf numFmtId="0" fontId="4" fillId="11" borderId="13" xfId="0" applyFont="1" applyFill="1" applyBorder="1"/>
    <xf numFmtId="0" fontId="0" fillId="9" borderId="14" xfId="0" applyFill="1" applyBorder="1"/>
    <xf numFmtId="0" fontId="0" fillId="9" borderId="15" xfId="0" applyFill="1" applyBorder="1"/>
    <xf numFmtId="9" fontId="0" fillId="9" borderId="15" xfId="1" applyFont="1" applyFill="1" applyBorder="1"/>
    <xf numFmtId="0" fontId="0" fillId="10" borderId="16" xfId="0" applyFill="1" applyBorder="1"/>
    <xf numFmtId="0" fontId="0" fillId="10" borderId="12" xfId="0" applyFill="1" applyBorder="1"/>
    <xf numFmtId="9" fontId="0" fillId="10" borderId="12" xfId="1" applyFont="1" applyFill="1" applyBorder="1"/>
    <xf numFmtId="0" fontId="0" fillId="9" borderId="16" xfId="0" applyFill="1" applyBorder="1"/>
    <xf numFmtId="0" fontId="0" fillId="9" borderId="12" xfId="0" applyFill="1" applyBorder="1"/>
    <xf numFmtId="9" fontId="0" fillId="9" borderId="12" xfId="1" applyFont="1" applyFill="1" applyBorder="1"/>
    <xf numFmtId="0" fontId="2" fillId="3" borderId="3"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0" borderId="3" xfId="0" applyFont="1" applyBorder="1" applyAlignment="1">
      <alignment horizontal="center" vertical="center" wrapText="1"/>
    </xf>
    <xf numFmtId="0" fontId="2" fillId="3" borderId="11" xfId="0" applyFont="1" applyFill="1" applyBorder="1" applyAlignment="1">
      <alignment horizontal="center" wrapText="1"/>
    </xf>
    <xf numFmtId="0" fontId="0" fillId="12" borderId="17" xfId="0" applyFill="1" applyBorder="1" applyAlignment="1">
      <alignment horizontal="center"/>
    </xf>
    <xf numFmtId="0" fontId="0" fillId="12" borderId="15" xfId="0" applyFill="1" applyBorder="1" applyAlignment="1">
      <alignment horizontal="center"/>
    </xf>
    <xf numFmtId="0" fontId="0" fillId="12" borderId="15" xfId="0" applyFill="1" applyBorder="1" applyAlignment="1">
      <alignment horizontal="center" vertical="center"/>
    </xf>
    <xf numFmtId="0" fontId="0" fillId="8" borderId="18" xfId="0" applyFill="1" applyBorder="1" applyAlignment="1">
      <alignment horizontal="center"/>
    </xf>
    <xf numFmtId="0" fontId="0" fillId="8" borderId="12" xfId="0" applyFill="1" applyBorder="1" applyAlignment="1">
      <alignment horizontal="center"/>
    </xf>
    <xf numFmtId="0" fontId="0" fillId="8" borderId="12" xfId="0" applyFill="1" applyBorder="1" applyAlignment="1">
      <alignment horizontal="center" vertical="center"/>
    </xf>
    <xf numFmtId="0" fontId="0" fillId="12" borderId="18" xfId="0" applyFill="1" applyBorder="1" applyAlignment="1">
      <alignment horizontal="center"/>
    </xf>
    <xf numFmtId="0" fontId="0" fillId="12" borderId="12" xfId="0" applyFill="1" applyBorder="1" applyAlignment="1">
      <alignment horizontal="center"/>
    </xf>
    <xf numFmtId="0" fontId="0" fillId="12" borderId="12" xfId="0" applyFill="1" applyBorder="1" applyAlignment="1">
      <alignment horizontal="center" vertical="center"/>
    </xf>
    <xf numFmtId="0" fontId="0" fillId="13" borderId="0" xfId="0" applyFill="1"/>
    <xf numFmtId="0" fontId="0" fillId="14" borderId="0" xfId="0" applyFill="1"/>
    <xf numFmtId="0" fontId="6" fillId="14" borderId="0" xfId="0" applyFont="1" applyFill="1" applyAlignment="1">
      <alignment horizontal="center" vertical="center"/>
    </xf>
    <xf numFmtId="0" fontId="4" fillId="6" borderId="3" xfId="0" applyFont="1" applyFill="1" applyBorder="1" applyAlignment="1">
      <alignment horizontal="center" vertical="center"/>
    </xf>
    <xf numFmtId="0" fontId="4" fillId="6" borderId="4" xfId="0" applyFont="1" applyFill="1" applyBorder="1" applyAlignment="1">
      <alignment horizontal="center" vertical="center"/>
    </xf>
  </cellXfs>
  <cellStyles count="2">
    <cellStyle name="Normal" xfId="0" builtinId="0"/>
    <cellStyle name="Percent" xfId="1" builtinId="5"/>
  </cellStyles>
  <dxfs count="8">
    <dxf>
      <alignment vertical="center"/>
    </dxf>
    <dxf>
      <alignment vertical="center"/>
    </dxf>
    <dxf>
      <alignment horizontal="center"/>
    </dxf>
    <dxf>
      <alignment horizontal="center"/>
    </dxf>
    <dxf>
      <alignment horizontal="general"/>
    </dxf>
    <dxf>
      <alignment vertical="bottom"/>
    </dxf>
    <dxf>
      <alignment vertical="center"/>
    </dxf>
    <dxf>
      <alignment horizontal="center"/>
    </dxf>
  </dxfs>
  <tableStyles count="1" defaultTableStyle="TableStyleMedium2" defaultPivotStyle="PivotStyleLight16">
    <tableStyle name="Invisible" pivot="0" table="0" count="0" xr9:uid="{B6912273-0EA2-406A-A09E-08D525F16AE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data.xlsx]pivottable analysis!Revenue by region</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 analysis'!$B$1</c:f>
              <c:strCache>
                <c:ptCount val="1"/>
                <c:pt idx="0">
                  <c:v>Total</c:v>
                </c:pt>
              </c:strCache>
            </c:strRef>
          </c:tx>
          <c:spPr>
            <a:solidFill>
              <a:schemeClr val="accent1"/>
            </a:solidFill>
            <a:ln>
              <a:noFill/>
            </a:ln>
            <a:effectLst/>
          </c:spPr>
          <c:invertIfNegative val="0"/>
          <c:cat>
            <c:strRef>
              <c:f>'pivottable analysis'!$A$2:$A$5</c:f>
              <c:strCache>
                <c:ptCount val="4"/>
                <c:pt idx="0">
                  <c:v>East</c:v>
                </c:pt>
                <c:pt idx="1">
                  <c:v>West</c:v>
                </c:pt>
                <c:pt idx="2">
                  <c:v>North</c:v>
                </c:pt>
                <c:pt idx="3">
                  <c:v>South</c:v>
                </c:pt>
              </c:strCache>
            </c:strRef>
          </c:cat>
          <c:val>
            <c:numRef>
              <c:f>'pivottable analysis'!$B$2:$B$5</c:f>
              <c:numCache>
                <c:formatCode>General</c:formatCode>
                <c:ptCount val="4"/>
                <c:pt idx="0">
                  <c:v>17615</c:v>
                </c:pt>
                <c:pt idx="1">
                  <c:v>27440</c:v>
                </c:pt>
                <c:pt idx="2">
                  <c:v>36665</c:v>
                </c:pt>
                <c:pt idx="3">
                  <c:v>46210</c:v>
                </c:pt>
              </c:numCache>
            </c:numRef>
          </c:val>
          <c:extLst>
            <c:ext xmlns:c16="http://schemas.microsoft.com/office/drawing/2014/chart" uri="{C3380CC4-5D6E-409C-BE32-E72D297353CC}">
              <c16:uniqueId val="{00000000-7AC5-46FE-8966-0884B7DF24C7}"/>
            </c:ext>
          </c:extLst>
        </c:ser>
        <c:dLbls>
          <c:showLegendKey val="0"/>
          <c:showVal val="0"/>
          <c:showCatName val="0"/>
          <c:showSerName val="0"/>
          <c:showPercent val="0"/>
          <c:showBubbleSize val="0"/>
        </c:dLbls>
        <c:gapWidth val="182"/>
        <c:axId val="18380655"/>
        <c:axId val="622679887"/>
      </c:barChart>
      <c:catAx>
        <c:axId val="18380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679887"/>
        <c:crosses val="autoZero"/>
        <c:auto val="1"/>
        <c:lblAlgn val="ctr"/>
        <c:lblOffset val="100"/>
        <c:noMultiLvlLbl val="0"/>
      </c:catAx>
      <c:valAx>
        <c:axId val="6226798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0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data.xlsx]pivottable analysis!Revenue by product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 analysis'!$E$1</c:f>
              <c:strCache>
                <c:ptCount val="1"/>
                <c:pt idx="0">
                  <c:v>Total</c:v>
                </c:pt>
              </c:strCache>
            </c:strRef>
          </c:tx>
          <c:spPr>
            <a:solidFill>
              <a:schemeClr val="accent1"/>
            </a:solidFill>
            <a:ln>
              <a:noFill/>
            </a:ln>
            <a:effectLst/>
          </c:spPr>
          <c:invertIfNegative val="0"/>
          <c:cat>
            <c:strRef>
              <c:f>'pivottable analysis'!$D$2:$D$7</c:f>
              <c:strCache>
                <c:ptCount val="5"/>
                <c:pt idx="0">
                  <c:v>AC</c:v>
                </c:pt>
                <c:pt idx="1">
                  <c:v>Camera</c:v>
                </c:pt>
                <c:pt idx="2">
                  <c:v>Laptop</c:v>
                </c:pt>
                <c:pt idx="3">
                  <c:v>Mobile</c:v>
                </c:pt>
                <c:pt idx="4">
                  <c:v>Tablet</c:v>
                </c:pt>
              </c:strCache>
            </c:strRef>
          </c:cat>
          <c:val>
            <c:numRef>
              <c:f>'pivottable analysis'!$E$2:$E$7</c:f>
              <c:numCache>
                <c:formatCode>General</c:formatCode>
                <c:ptCount val="5"/>
                <c:pt idx="0">
                  <c:v>8200</c:v>
                </c:pt>
                <c:pt idx="1">
                  <c:v>8450</c:v>
                </c:pt>
                <c:pt idx="2">
                  <c:v>10100</c:v>
                </c:pt>
                <c:pt idx="3">
                  <c:v>8950</c:v>
                </c:pt>
                <c:pt idx="4">
                  <c:v>10040</c:v>
                </c:pt>
              </c:numCache>
            </c:numRef>
          </c:val>
          <c:extLst>
            <c:ext xmlns:c16="http://schemas.microsoft.com/office/drawing/2014/chart" uri="{C3380CC4-5D6E-409C-BE32-E72D297353CC}">
              <c16:uniqueId val="{00000000-80B0-4C0E-93C3-BF71145DE3D5}"/>
            </c:ext>
          </c:extLst>
        </c:ser>
        <c:dLbls>
          <c:showLegendKey val="0"/>
          <c:showVal val="0"/>
          <c:showCatName val="0"/>
          <c:showSerName val="0"/>
          <c:showPercent val="0"/>
          <c:showBubbleSize val="0"/>
        </c:dLbls>
        <c:gapWidth val="219"/>
        <c:overlap val="-27"/>
        <c:axId val="437603423"/>
        <c:axId val="437597183"/>
      </c:barChart>
      <c:catAx>
        <c:axId val="437603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597183"/>
        <c:crosses val="autoZero"/>
        <c:auto val="1"/>
        <c:lblAlgn val="ctr"/>
        <c:lblOffset val="100"/>
        <c:noMultiLvlLbl val="0"/>
      </c:catAx>
      <c:valAx>
        <c:axId val="437597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03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data.xlsx]pivottable analysis!PivotTable4</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Catergory</a:t>
            </a:r>
            <a:r>
              <a:rPr lang="en-US" baseline="0"/>
              <a:t> distribution</a:t>
            </a:r>
            <a:endParaRPr lang="en-US"/>
          </a:p>
        </c:rich>
      </c:tx>
      <c:layout>
        <c:manualLayout>
          <c:xMode val="edge"/>
          <c:yMode val="edge"/>
          <c:x val="0.25473019679699371"/>
          <c:y val="3.302587176602925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solidFill>
            <a:ln>
              <a:solidFill>
                <a:schemeClr val="bg1"/>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4.9642147649311609E-2"/>
              <c:y val="-9.5880127192160852E-2"/>
            </c:manualLayout>
          </c:layout>
          <c:spPr>
            <a:solidFill>
              <a:sysClr val="window" lastClr="FFFFFF"/>
            </a:solidFill>
            <a:ln>
              <a:solidFill>
                <a:sysClr val="window" lastClr="FFFFFF"/>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2838024867904475"/>
                  <c:h val="0.1839968895580785"/>
                </c:manualLayout>
              </c15:layout>
            </c:ext>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3.8184648385221898E-3"/>
              <c:y val="4.1947530099136932E-2"/>
            </c:manualLayout>
          </c:layout>
          <c:spPr>
            <a:solidFill>
              <a:sysClr val="window" lastClr="FFFFFF"/>
            </a:solidFill>
            <a:ln>
              <a:solidFill>
                <a:sysClr val="window" lastClr="FFFFFF"/>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30352367977393796"/>
                  <c:h val="0.21283312092173262"/>
                </c:manualLayout>
              </c15:layout>
            </c:ext>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2.6730306243916903E-2"/>
              <c:y val="-2.6966255284842713E-2"/>
            </c:manualLayout>
          </c:layout>
          <c:spPr>
            <a:solidFill>
              <a:sysClr val="window" lastClr="FFFFFF"/>
            </a:solidFill>
            <a:ln>
              <a:solidFill>
                <a:sysClr val="window" lastClr="FFFFFF"/>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32277340908824398"/>
                  <c:h val="0.1839968895580785"/>
                </c:manualLayout>
              </c15:layout>
            </c:ext>
          </c:extLst>
        </c:dLbl>
      </c:pivotFmt>
    </c:pivotFmts>
    <c:plotArea>
      <c:layout/>
      <c:pieChart>
        <c:varyColors val="1"/>
        <c:ser>
          <c:idx val="0"/>
          <c:order val="0"/>
          <c:tx>
            <c:strRef>
              <c:f>'pivottable analysis'!$E$9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A1A-46BB-B4DB-602F725FE76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A1A-46BB-B4DB-602F725FE76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A1A-46BB-B4DB-602F725FE768}"/>
              </c:ext>
            </c:extLst>
          </c:dPt>
          <c:dLbls>
            <c:dLbl>
              <c:idx val="0"/>
              <c:layout>
                <c:manualLayout>
                  <c:x val="4.9642147649311609E-2"/>
                  <c:y val="-9.5880127192160852E-2"/>
                </c:manualLayout>
              </c:layout>
              <c:spPr>
                <a:solidFill>
                  <a:sysClr val="window" lastClr="FFFFFF"/>
                </a:solidFill>
                <a:ln>
                  <a:solidFill>
                    <a:sysClr val="window" lastClr="FFFFFF"/>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2838024867904475"/>
                      <c:h val="0.1839968895580785"/>
                    </c:manualLayout>
                  </c15:layout>
                </c:ext>
                <c:ext xmlns:c16="http://schemas.microsoft.com/office/drawing/2014/chart" uri="{C3380CC4-5D6E-409C-BE32-E72D297353CC}">
                  <c16:uniqueId val="{00000001-AA1A-46BB-B4DB-602F725FE768}"/>
                </c:ext>
              </c:extLst>
            </c:dLbl>
            <c:dLbl>
              <c:idx val="1"/>
              <c:layout>
                <c:manualLayout>
                  <c:x val="-3.8184648385221898E-3"/>
                  <c:y val="4.1947530099136932E-2"/>
                </c:manualLayout>
              </c:layout>
              <c:spPr>
                <a:solidFill>
                  <a:sysClr val="window" lastClr="FFFFFF"/>
                </a:solidFill>
                <a:ln>
                  <a:solidFill>
                    <a:sysClr val="window" lastClr="FFFFFF"/>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30352367977393796"/>
                      <c:h val="0.21283312092173262"/>
                    </c:manualLayout>
                  </c15:layout>
                </c:ext>
                <c:ext xmlns:c16="http://schemas.microsoft.com/office/drawing/2014/chart" uri="{C3380CC4-5D6E-409C-BE32-E72D297353CC}">
                  <c16:uniqueId val="{00000003-AA1A-46BB-B4DB-602F725FE768}"/>
                </c:ext>
              </c:extLst>
            </c:dLbl>
            <c:dLbl>
              <c:idx val="2"/>
              <c:layout>
                <c:manualLayout>
                  <c:x val="2.6730306243916903E-2"/>
                  <c:y val="-2.6966255284842713E-2"/>
                </c:manualLayout>
              </c:layout>
              <c:spPr>
                <a:solidFill>
                  <a:sysClr val="window" lastClr="FFFFFF"/>
                </a:solidFill>
                <a:ln>
                  <a:solidFill>
                    <a:sysClr val="window" lastClr="FFFFFF"/>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32277340908824398"/>
                      <c:h val="0.1839968895580785"/>
                    </c:manualLayout>
                  </c15:layout>
                </c:ext>
                <c:ext xmlns:c16="http://schemas.microsoft.com/office/drawing/2014/chart" uri="{C3380CC4-5D6E-409C-BE32-E72D297353CC}">
                  <c16:uniqueId val="{00000005-AA1A-46BB-B4DB-602F725FE768}"/>
                </c:ext>
              </c:extLst>
            </c:dLbl>
            <c:spPr>
              <a:solidFill>
                <a:schemeClr val="bg1"/>
              </a:solidFill>
              <a:ln>
                <a:solidFill>
                  <a:schemeClr val="bg1"/>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'pivottable analysis'!$D$10:$D$13</c:f>
              <c:strCache>
                <c:ptCount val="3"/>
                <c:pt idx="0">
                  <c:v>Electronics</c:v>
                </c:pt>
                <c:pt idx="1">
                  <c:v>Furniture</c:v>
                </c:pt>
                <c:pt idx="2">
                  <c:v>Office Supplies</c:v>
                </c:pt>
              </c:strCache>
            </c:strRef>
          </c:cat>
          <c:val>
            <c:numRef>
              <c:f>'pivottable analysis'!$E$10:$E$13</c:f>
              <c:numCache>
                <c:formatCode>General</c:formatCode>
                <c:ptCount val="3"/>
                <c:pt idx="0">
                  <c:v>313</c:v>
                </c:pt>
                <c:pt idx="1">
                  <c:v>141</c:v>
                </c:pt>
                <c:pt idx="2">
                  <c:v>322</c:v>
                </c:pt>
              </c:numCache>
            </c:numRef>
          </c:val>
          <c:extLst>
            <c:ext xmlns:c16="http://schemas.microsoft.com/office/drawing/2014/chart" uri="{C3380CC4-5D6E-409C-BE32-E72D297353CC}">
              <c16:uniqueId val="{00000006-AA1A-46BB-B4DB-602F725FE768}"/>
            </c:ext>
          </c:extLst>
        </c:ser>
        <c:dLbls>
          <c:showLegendKey val="0"/>
          <c:showVal val="0"/>
          <c:showCatName val="0"/>
          <c:showSerName val="0"/>
          <c:showPercent val="0"/>
          <c:showBubbleSize val="0"/>
          <c:showLeaderLines val="0"/>
        </c:dLbls>
        <c:firstSliceAng val="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data.xlsx]pivottable analysis!Revenue by region</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 analysis'!$B$1</c:f>
              <c:strCache>
                <c:ptCount val="1"/>
                <c:pt idx="0">
                  <c:v>Total</c:v>
                </c:pt>
              </c:strCache>
            </c:strRef>
          </c:tx>
          <c:spPr>
            <a:ln w="28575" cap="rnd">
              <a:solidFill>
                <a:schemeClr val="accent1"/>
              </a:solidFill>
              <a:round/>
            </a:ln>
            <a:effectLst/>
          </c:spPr>
          <c:marker>
            <c:symbol val="none"/>
          </c:marker>
          <c:cat>
            <c:strRef>
              <c:f>'pivottable analysis'!$A$2:$A$5</c:f>
              <c:strCache>
                <c:ptCount val="4"/>
                <c:pt idx="0">
                  <c:v>East</c:v>
                </c:pt>
                <c:pt idx="1">
                  <c:v>West</c:v>
                </c:pt>
                <c:pt idx="2">
                  <c:v>North</c:v>
                </c:pt>
                <c:pt idx="3">
                  <c:v>South</c:v>
                </c:pt>
              </c:strCache>
            </c:strRef>
          </c:cat>
          <c:val>
            <c:numRef>
              <c:f>'pivottable analysis'!$B$2:$B$5</c:f>
              <c:numCache>
                <c:formatCode>General</c:formatCode>
                <c:ptCount val="4"/>
                <c:pt idx="0">
                  <c:v>17615</c:v>
                </c:pt>
                <c:pt idx="1">
                  <c:v>27440</c:v>
                </c:pt>
                <c:pt idx="2">
                  <c:v>36665</c:v>
                </c:pt>
                <c:pt idx="3">
                  <c:v>46210</c:v>
                </c:pt>
              </c:numCache>
            </c:numRef>
          </c:val>
          <c:smooth val="0"/>
          <c:extLst>
            <c:ext xmlns:c16="http://schemas.microsoft.com/office/drawing/2014/chart" uri="{C3380CC4-5D6E-409C-BE32-E72D297353CC}">
              <c16:uniqueId val="{00000000-0265-4154-B7E7-F2E224B11E73}"/>
            </c:ext>
          </c:extLst>
        </c:ser>
        <c:dLbls>
          <c:showLegendKey val="0"/>
          <c:showVal val="0"/>
          <c:showCatName val="0"/>
          <c:showSerName val="0"/>
          <c:showPercent val="0"/>
          <c:showBubbleSize val="0"/>
        </c:dLbls>
        <c:smooth val="0"/>
        <c:axId val="1237709839"/>
        <c:axId val="1237688239"/>
      </c:lineChart>
      <c:catAx>
        <c:axId val="1237709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688239"/>
        <c:crosses val="autoZero"/>
        <c:auto val="1"/>
        <c:lblAlgn val="ctr"/>
        <c:lblOffset val="100"/>
        <c:noMultiLvlLbl val="0"/>
      </c:catAx>
      <c:valAx>
        <c:axId val="1237688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709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193675</xdr:colOff>
      <xdr:row>1</xdr:row>
      <xdr:rowOff>104775</xdr:rowOff>
    </xdr:from>
    <xdr:to>
      <xdr:col>2</xdr:col>
      <xdr:colOff>533400</xdr:colOff>
      <xdr:row>6</xdr:row>
      <xdr:rowOff>66675</xdr:rowOff>
    </xdr:to>
    <xdr:sp macro="" textlink="Summary!B2">
      <xdr:nvSpPr>
        <xdr:cNvPr id="2" name="Rectangle 1">
          <a:extLst>
            <a:ext uri="{FF2B5EF4-FFF2-40B4-BE49-F238E27FC236}">
              <a16:creationId xmlns:a16="http://schemas.microsoft.com/office/drawing/2014/main" id="{8C4BE469-DAC1-BBFC-02A0-97ABF87856A2}"/>
            </a:ext>
          </a:extLst>
        </xdr:cNvPr>
        <xdr:cNvSpPr/>
      </xdr:nvSpPr>
      <xdr:spPr>
        <a:xfrm>
          <a:off x="193675" y="400050"/>
          <a:ext cx="1558925" cy="91440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endParaRPr lang="en-US" sz="2400" b="0" i="0" u="none" strike="noStrike">
            <a:solidFill>
              <a:srgbClr val="000000"/>
            </a:solidFill>
            <a:latin typeface="Aptos Narrow"/>
          </a:endParaRPr>
        </a:p>
        <a:p>
          <a:pPr algn="ctr"/>
          <a:fld id="{457086B1-6BDD-49DA-BFC1-954ACE7B9A9A}" type="TxLink">
            <a:rPr lang="en-US" sz="2400" b="0" i="0" u="none" strike="noStrike">
              <a:solidFill>
                <a:srgbClr val="000000"/>
              </a:solidFill>
              <a:latin typeface="Aptos Narrow"/>
            </a:rPr>
            <a:pPr algn="ctr"/>
            <a:t>127930</a:t>
          </a:fld>
          <a:endParaRPr lang="en-US" sz="2400"/>
        </a:p>
      </xdr:txBody>
    </xdr:sp>
    <xdr:clientData/>
  </xdr:twoCellAnchor>
  <xdr:twoCellAnchor>
    <xdr:from>
      <xdr:col>3</xdr:col>
      <xdr:colOff>277813</xdr:colOff>
      <xdr:row>1</xdr:row>
      <xdr:rowOff>98425</xdr:rowOff>
    </xdr:from>
    <xdr:to>
      <xdr:col>6</xdr:col>
      <xdr:colOff>133350</xdr:colOff>
      <xdr:row>6</xdr:row>
      <xdr:rowOff>60325</xdr:rowOff>
    </xdr:to>
    <xdr:sp macro="" textlink="Summary!C2">
      <xdr:nvSpPr>
        <xdr:cNvPr id="6" name="Rectangle 5">
          <a:extLst>
            <a:ext uri="{FF2B5EF4-FFF2-40B4-BE49-F238E27FC236}">
              <a16:creationId xmlns:a16="http://schemas.microsoft.com/office/drawing/2014/main" id="{3D302434-C997-49DB-9E4A-0E66A9CF5638}"/>
            </a:ext>
          </a:extLst>
        </xdr:cNvPr>
        <xdr:cNvSpPr/>
      </xdr:nvSpPr>
      <xdr:spPr>
        <a:xfrm>
          <a:off x="2106613" y="393700"/>
          <a:ext cx="1684337" cy="91440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endParaRPr lang="en-US" sz="2400" b="0" i="0" u="none" strike="noStrike">
            <a:solidFill>
              <a:srgbClr val="000000"/>
            </a:solidFill>
            <a:latin typeface="Aptos Narrow"/>
          </a:endParaRPr>
        </a:p>
        <a:p>
          <a:pPr algn="ctr"/>
          <a:fld id="{94AA7DDF-0492-4648-9AB9-A831E8ACAB99}" type="TxLink">
            <a:rPr lang="en-US" sz="2400" b="0" i="0" u="none" strike="noStrike">
              <a:solidFill>
                <a:srgbClr val="000000"/>
              </a:solidFill>
              <a:latin typeface="Aptos Narrow"/>
            </a:rPr>
            <a:pPr algn="ctr"/>
            <a:t>31220</a:t>
          </a:fld>
          <a:endParaRPr lang="en-US" sz="2400"/>
        </a:p>
      </xdr:txBody>
    </xdr:sp>
    <xdr:clientData/>
  </xdr:twoCellAnchor>
  <xdr:twoCellAnchor>
    <xdr:from>
      <xdr:col>10</xdr:col>
      <xdr:colOff>163512</xdr:colOff>
      <xdr:row>1</xdr:row>
      <xdr:rowOff>82550</xdr:rowOff>
    </xdr:from>
    <xdr:to>
      <xdr:col>12</xdr:col>
      <xdr:colOff>504825</xdr:colOff>
      <xdr:row>6</xdr:row>
      <xdr:rowOff>44450</xdr:rowOff>
    </xdr:to>
    <xdr:sp macro="" textlink="Summary!E2">
      <xdr:nvSpPr>
        <xdr:cNvPr id="7" name="Rectangle 6">
          <a:extLst>
            <a:ext uri="{FF2B5EF4-FFF2-40B4-BE49-F238E27FC236}">
              <a16:creationId xmlns:a16="http://schemas.microsoft.com/office/drawing/2014/main" id="{1BCC4CB1-B1B5-41DB-9B21-1DCA7197C1DD}"/>
            </a:ext>
          </a:extLst>
        </xdr:cNvPr>
        <xdr:cNvSpPr/>
      </xdr:nvSpPr>
      <xdr:spPr>
        <a:xfrm>
          <a:off x="6259512" y="377825"/>
          <a:ext cx="1560513" cy="91440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endParaRPr lang="en-US" sz="2400" b="0" i="0" u="none" strike="noStrike">
            <a:solidFill>
              <a:srgbClr val="000000"/>
            </a:solidFill>
            <a:latin typeface="Aptos Narrow"/>
          </a:endParaRPr>
        </a:p>
        <a:p>
          <a:pPr algn="ctr"/>
          <a:fld id="{A14D6230-43B2-4825-967B-65456411938D}" type="TxLink">
            <a:rPr lang="en-US" sz="2400" b="0" i="0" u="none" strike="noStrike">
              <a:solidFill>
                <a:srgbClr val="000000"/>
              </a:solidFill>
              <a:latin typeface="Aptos Narrow"/>
            </a:rPr>
            <a:pPr algn="ctr"/>
            <a:t>776</a:t>
          </a:fld>
          <a:endParaRPr lang="en-US" sz="2400"/>
        </a:p>
      </xdr:txBody>
    </xdr:sp>
    <xdr:clientData/>
  </xdr:twoCellAnchor>
  <xdr:twoCellAnchor>
    <xdr:from>
      <xdr:col>6</xdr:col>
      <xdr:colOff>474663</xdr:colOff>
      <xdr:row>1</xdr:row>
      <xdr:rowOff>98425</xdr:rowOff>
    </xdr:from>
    <xdr:to>
      <xdr:col>9</xdr:col>
      <xdr:colOff>266701</xdr:colOff>
      <xdr:row>6</xdr:row>
      <xdr:rowOff>60325</xdr:rowOff>
    </xdr:to>
    <xdr:sp macro="" textlink="Summary!D2">
      <xdr:nvSpPr>
        <xdr:cNvPr id="8" name="Rectangle 7">
          <a:extLst>
            <a:ext uri="{FF2B5EF4-FFF2-40B4-BE49-F238E27FC236}">
              <a16:creationId xmlns:a16="http://schemas.microsoft.com/office/drawing/2014/main" id="{73F48F5C-5FAF-4737-A199-C18A46B8E94F}"/>
            </a:ext>
          </a:extLst>
        </xdr:cNvPr>
        <xdr:cNvSpPr/>
      </xdr:nvSpPr>
      <xdr:spPr>
        <a:xfrm>
          <a:off x="4132263" y="393700"/>
          <a:ext cx="1620838" cy="914400"/>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endParaRPr lang="en-US" sz="2400" b="0" i="0" u="none" strike="noStrike">
            <a:solidFill>
              <a:srgbClr val="000000"/>
            </a:solidFill>
            <a:latin typeface="Aptos Narrow"/>
          </a:endParaRPr>
        </a:p>
        <a:p>
          <a:pPr algn="ctr"/>
          <a:fld id="{0F671852-57A5-4768-8AA0-C9EA2D63562A}" type="TxLink">
            <a:rPr lang="en-US" sz="2400" b="0" i="0" u="none" strike="noStrike">
              <a:solidFill>
                <a:srgbClr val="000000"/>
              </a:solidFill>
              <a:latin typeface="Aptos Narrow"/>
            </a:rPr>
            <a:pPr algn="ctr"/>
            <a:t>32%</a:t>
          </a:fld>
          <a:endParaRPr lang="en-US" sz="2400"/>
        </a:p>
      </xdr:txBody>
    </xdr:sp>
    <xdr:clientData/>
  </xdr:twoCellAnchor>
  <xdr:twoCellAnchor>
    <xdr:from>
      <xdr:col>0</xdr:col>
      <xdr:colOff>203202</xdr:colOff>
      <xdr:row>1</xdr:row>
      <xdr:rowOff>104776</xdr:rowOff>
    </xdr:from>
    <xdr:to>
      <xdr:col>2</xdr:col>
      <xdr:colOff>545178</xdr:colOff>
      <xdr:row>3</xdr:row>
      <xdr:rowOff>85726</xdr:rowOff>
    </xdr:to>
    <xdr:sp macro="" textlink="">
      <xdr:nvSpPr>
        <xdr:cNvPr id="5" name="Rectangle 4">
          <a:extLst>
            <a:ext uri="{FF2B5EF4-FFF2-40B4-BE49-F238E27FC236}">
              <a16:creationId xmlns:a16="http://schemas.microsoft.com/office/drawing/2014/main" id="{60B72ADD-D699-331E-8888-AA83F9811C90}"/>
            </a:ext>
          </a:extLst>
        </xdr:cNvPr>
        <xdr:cNvSpPr/>
      </xdr:nvSpPr>
      <xdr:spPr>
        <a:xfrm>
          <a:off x="203202" y="400051"/>
          <a:ext cx="1561176" cy="36195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IN" sz="1600"/>
            <a:t>Total Revenue</a:t>
          </a:r>
        </a:p>
      </xdr:txBody>
    </xdr:sp>
    <xdr:clientData/>
  </xdr:twoCellAnchor>
  <xdr:twoCellAnchor>
    <xdr:from>
      <xdr:col>3</xdr:col>
      <xdr:colOff>277814</xdr:colOff>
      <xdr:row>1</xdr:row>
      <xdr:rowOff>107950</xdr:rowOff>
    </xdr:from>
    <xdr:to>
      <xdr:col>6</xdr:col>
      <xdr:colOff>133350</xdr:colOff>
      <xdr:row>3</xdr:row>
      <xdr:rowOff>88900</xdr:rowOff>
    </xdr:to>
    <xdr:sp macro="" textlink="">
      <xdr:nvSpPr>
        <xdr:cNvPr id="9" name="Rectangle 8">
          <a:extLst>
            <a:ext uri="{FF2B5EF4-FFF2-40B4-BE49-F238E27FC236}">
              <a16:creationId xmlns:a16="http://schemas.microsoft.com/office/drawing/2014/main" id="{4482771C-4413-4B7A-9899-9E276A34AC23}"/>
            </a:ext>
          </a:extLst>
        </xdr:cNvPr>
        <xdr:cNvSpPr/>
      </xdr:nvSpPr>
      <xdr:spPr>
        <a:xfrm>
          <a:off x="2106614" y="403225"/>
          <a:ext cx="1684336" cy="36195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IN" sz="1600"/>
            <a:t>Total Profit</a:t>
          </a:r>
        </a:p>
      </xdr:txBody>
    </xdr:sp>
    <xdr:clientData/>
  </xdr:twoCellAnchor>
  <xdr:twoCellAnchor>
    <xdr:from>
      <xdr:col>6</xdr:col>
      <xdr:colOff>484187</xdr:colOff>
      <xdr:row>1</xdr:row>
      <xdr:rowOff>117475</xdr:rowOff>
    </xdr:from>
    <xdr:to>
      <xdr:col>9</xdr:col>
      <xdr:colOff>276224</xdr:colOff>
      <xdr:row>3</xdr:row>
      <xdr:rowOff>98425</xdr:rowOff>
    </xdr:to>
    <xdr:sp macro="" textlink="">
      <xdr:nvSpPr>
        <xdr:cNvPr id="10" name="Rectangle 9">
          <a:extLst>
            <a:ext uri="{FF2B5EF4-FFF2-40B4-BE49-F238E27FC236}">
              <a16:creationId xmlns:a16="http://schemas.microsoft.com/office/drawing/2014/main" id="{F5303A00-62C6-4E9F-A285-1AD58C97EDE3}"/>
            </a:ext>
          </a:extLst>
        </xdr:cNvPr>
        <xdr:cNvSpPr/>
      </xdr:nvSpPr>
      <xdr:spPr>
        <a:xfrm>
          <a:off x="4141787" y="412750"/>
          <a:ext cx="1620837" cy="361950"/>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IN" sz="1600"/>
            <a:t>Profit</a:t>
          </a:r>
          <a:r>
            <a:rPr lang="en-IN" sz="1600" baseline="0"/>
            <a:t> margin</a:t>
          </a:r>
          <a:endParaRPr lang="en-IN" sz="1600"/>
        </a:p>
      </xdr:txBody>
    </xdr:sp>
    <xdr:clientData/>
  </xdr:twoCellAnchor>
  <xdr:twoCellAnchor>
    <xdr:from>
      <xdr:col>10</xdr:col>
      <xdr:colOff>173037</xdr:colOff>
      <xdr:row>1</xdr:row>
      <xdr:rowOff>92075</xdr:rowOff>
    </xdr:from>
    <xdr:to>
      <xdr:col>12</xdr:col>
      <xdr:colOff>507590</xdr:colOff>
      <xdr:row>3</xdr:row>
      <xdr:rowOff>73025</xdr:rowOff>
    </xdr:to>
    <xdr:sp macro="" textlink="">
      <xdr:nvSpPr>
        <xdr:cNvPr id="11" name="Rectangle 10">
          <a:extLst>
            <a:ext uri="{FF2B5EF4-FFF2-40B4-BE49-F238E27FC236}">
              <a16:creationId xmlns:a16="http://schemas.microsoft.com/office/drawing/2014/main" id="{C3D1D5AB-A13F-421C-8C98-B0603B112691}"/>
            </a:ext>
          </a:extLst>
        </xdr:cNvPr>
        <xdr:cNvSpPr/>
      </xdr:nvSpPr>
      <xdr:spPr>
        <a:xfrm>
          <a:off x="6269037" y="387350"/>
          <a:ext cx="1553753" cy="361950"/>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IN" sz="1600"/>
            <a:t>Unit sold</a:t>
          </a:r>
        </a:p>
      </xdr:txBody>
    </xdr:sp>
    <xdr:clientData/>
  </xdr:twoCellAnchor>
  <xdr:twoCellAnchor>
    <xdr:from>
      <xdr:col>11</xdr:col>
      <xdr:colOff>28575</xdr:colOff>
      <xdr:row>8</xdr:row>
      <xdr:rowOff>52388</xdr:rowOff>
    </xdr:from>
    <xdr:to>
      <xdr:col>16</xdr:col>
      <xdr:colOff>525463</xdr:colOff>
      <xdr:row>18</xdr:row>
      <xdr:rowOff>127002</xdr:rowOff>
    </xdr:to>
    <xdr:graphicFrame macro="">
      <xdr:nvGraphicFramePr>
        <xdr:cNvPr id="13" name="Chart 12">
          <a:extLst>
            <a:ext uri="{FF2B5EF4-FFF2-40B4-BE49-F238E27FC236}">
              <a16:creationId xmlns:a16="http://schemas.microsoft.com/office/drawing/2014/main" id="{773416FA-6EB7-4D18-92A5-1E1071FD2F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9525</xdr:colOff>
      <xdr:row>19</xdr:row>
      <xdr:rowOff>95250</xdr:rowOff>
    </xdr:from>
    <xdr:to>
      <xdr:col>16</xdr:col>
      <xdr:colOff>487362</xdr:colOff>
      <xdr:row>30</xdr:row>
      <xdr:rowOff>68264</xdr:rowOff>
    </xdr:to>
    <xdr:graphicFrame macro="">
      <xdr:nvGraphicFramePr>
        <xdr:cNvPr id="15" name="Chart 14">
          <a:extLst>
            <a:ext uri="{FF2B5EF4-FFF2-40B4-BE49-F238E27FC236}">
              <a16:creationId xmlns:a16="http://schemas.microsoft.com/office/drawing/2014/main" id="{47583017-2299-4185-B2ED-D199589392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147637</xdr:colOff>
      <xdr:row>18</xdr:row>
      <xdr:rowOff>182561</xdr:rowOff>
    </xdr:from>
    <xdr:to>
      <xdr:col>10</xdr:col>
      <xdr:colOff>257175</xdr:colOff>
      <xdr:row>30</xdr:row>
      <xdr:rowOff>15874</xdr:rowOff>
    </xdr:to>
    <xdr:graphicFrame macro="">
      <xdr:nvGraphicFramePr>
        <xdr:cNvPr id="16" name="Chart 15">
          <a:extLst>
            <a:ext uri="{FF2B5EF4-FFF2-40B4-BE49-F238E27FC236}">
              <a16:creationId xmlns:a16="http://schemas.microsoft.com/office/drawing/2014/main" id="{6D2BED9A-D837-4FEF-9BEE-11AD45A0F4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142875</xdr:colOff>
      <xdr:row>7</xdr:row>
      <xdr:rowOff>15875</xdr:rowOff>
    </xdr:from>
    <xdr:to>
      <xdr:col>3</xdr:col>
      <xdr:colOff>428625</xdr:colOff>
      <xdr:row>15</xdr:row>
      <xdr:rowOff>47625</xdr:rowOff>
    </xdr:to>
    <mc:AlternateContent xmlns:mc="http://schemas.openxmlformats.org/markup-compatibility/2006" xmlns:a14="http://schemas.microsoft.com/office/drawing/2010/main">
      <mc:Choice Requires="a14">
        <xdr:graphicFrame macro="">
          <xdr:nvGraphicFramePr>
            <xdr:cNvPr id="3" name="Months (Date)">
              <a:extLst>
                <a:ext uri="{FF2B5EF4-FFF2-40B4-BE49-F238E27FC236}">
                  <a16:creationId xmlns:a16="http://schemas.microsoft.com/office/drawing/2014/main" id="{B949466D-1B8A-4077-BC23-6F85C4FA6E2E}"/>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42875" y="1454150"/>
              <a:ext cx="2114550" cy="1555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127001</xdr:colOff>
      <xdr:row>15</xdr:row>
      <xdr:rowOff>87313</xdr:rowOff>
    </xdr:from>
    <xdr:to>
      <xdr:col>3</xdr:col>
      <xdr:colOff>428625</xdr:colOff>
      <xdr:row>21</xdr:row>
      <xdr:rowOff>174626</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EAAE5C07-23A1-4F56-80A8-7D2C4D2D025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7001" y="3049588"/>
              <a:ext cx="2130424" cy="12303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119061</xdr:colOff>
      <xdr:row>22</xdr:row>
      <xdr:rowOff>111126</xdr:rowOff>
    </xdr:from>
    <xdr:to>
      <xdr:col>3</xdr:col>
      <xdr:colOff>447674</xdr:colOff>
      <xdr:row>29</xdr:row>
      <xdr:rowOff>79375</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E84986E9-0009-4B7A-BE27-25D511B679F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9061" y="4406901"/>
              <a:ext cx="2157413" cy="1301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400050</xdr:colOff>
      <xdr:row>1</xdr:row>
      <xdr:rowOff>19051</xdr:rowOff>
    </xdr:from>
    <xdr:to>
      <xdr:col>19</xdr:col>
      <xdr:colOff>95250</xdr:colOff>
      <xdr:row>7</xdr:row>
      <xdr:rowOff>171451</xdr:rowOff>
    </xdr:to>
    <mc:AlternateContent xmlns:mc="http://schemas.openxmlformats.org/markup-compatibility/2006" xmlns:tsle="http://schemas.microsoft.com/office/drawing/2012/timeslicer">
      <mc:Choice Requires="tsle">
        <xdr:graphicFrame macro="">
          <xdr:nvGraphicFramePr>
            <xdr:cNvPr id="17" name="Date">
              <a:extLst>
                <a:ext uri="{FF2B5EF4-FFF2-40B4-BE49-F238E27FC236}">
                  <a16:creationId xmlns:a16="http://schemas.microsoft.com/office/drawing/2014/main" id="{4486C8B8-90E2-4306-8497-F29D36F4AA1B}"/>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8324850" y="314326"/>
              <a:ext cx="3352800" cy="12954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xdr:col>
      <xdr:colOff>152400</xdr:colOff>
      <xdr:row>8</xdr:row>
      <xdr:rowOff>47625</xdr:rowOff>
    </xdr:from>
    <xdr:to>
      <xdr:col>10</xdr:col>
      <xdr:colOff>209550</xdr:colOff>
      <xdr:row>18</xdr:row>
      <xdr:rowOff>66675</xdr:rowOff>
    </xdr:to>
    <xdr:graphicFrame macro="">
      <xdr:nvGraphicFramePr>
        <xdr:cNvPr id="19" name="Chart 18">
          <a:extLst>
            <a:ext uri="{FF2B5EF4-FFF2-40B4-BE49-F238E27FC236}">
              <a16:creationId xmlns:a16="http://schemas.microsoft.com/office/drawing/2014/main" id="{5A1AC71A-7180-43CA-9B62-6E768EDB31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69.427521527781" createdVersion="8" refreshedVersion="8" minRefreshableVersion="3" recordCount="80" xr:uid="{86AAE5EE-9F89-49F1-A898-67DC75093E13}">
  <cacheSource type="worksheet">
    <worksheetSource ref="A1:L81" sheet="Data"/>
  </cacheSource>
  <cacheFields count="14">
    <cacheField name="Order_ID" numFmtId="0">
      <sharedItems containsSemiMixedTypes="0" containsString="0" containsNumber="1" containsInteger="1" minValue="1001" maxValue="1080"/>
    </cacheField>
    <cacheField name="Date" numFmtId="15">
      <sharedItems containsSemiMixedTypes="0" containsNonDate="0" containsDate="1" containsString="0" minDate="2025-01-01T00:00:00" maxDate="2025-03-22T00:00:00" count="8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sharedItems>
      <fieldGroup par="13"/>
    </cacheField>
    <cacheField name="Region" numFmtId="0">
      <sharedItems count="4">
        <s v="North"/>
        <s v="South"/>
        <s v="East"/>
        <s v="West"/>
      </sharedItems>
    </cacheField>
    <cacheField name="Salesperson" numFmtId="0">
      <sharedItems count="4">
        <s v="John"/>
        <s v="Sarah"/>
        <s v="David"/>
        <s v="Emily"/>
      </sharedItems>
    </cacheField>
    <cacheField name="Product" numFmtId="0">
      <sharedItems count="34">
        <s v="Laptop"/>
        <s v="Mobile"/>
        <s v="Printer"/>
        <s v="Desk Chair"/>
        <s v="Tablet"/>
        <s v="Monitor"/>
        <s v="Keyboard"/>
        <s v="Office Desk"/>
        <s v="Headphones"/>
        <s v="Bookshelf"/>
        <s v="Scanner"/>
        <s v="Smartwatch"/>
        <s v="Router"/>
        <s v="Cabinet"/>
        <s v="Sofa"/>
        <s v="Lamp"/>
        <s v="Mouse"/>
        <s v="Projector"/>
        <s v="Notebook"/>
        <s v="Cupboard"/>
        <s v="Camera"/>
        <s v="Fan"/>
        <s v="Stapler"/>
        <s v="Whiteboard"/>
        <s v="TV"/>
        <s v="AC"/>
        <s v="Table"/>
        <s v="Chair"/>
        <s v="Speaker"/>
        <s v="Hard Drive"/>
        <s v="Pen Pack"/>
        <s v="Drawer"/>
        <s v="Smartphone"/>
        <s v="Desk"/>
      </sharedItems>
    </cacheField>
    <cacheField name="Category" numFmtId="0">
      <sharedItems count="3">
        <s v="Electronics"/>
        <s v="Office Supplies"/>
        <s v="Furniture"/>
      </sharedItems>
    </cacheField>
    <cacheField name="Units" numFmtId="0">
      <sharedItems containsSemiMixedTypes="0" containsString="0" containsNumber="1" containsInteger="1" minValue="1" maxValue="50"/>
    </cacheField>
    <cacheField name="Unit_Price" numFmtId="0">
      <sharedItems containsSemiMixedTypes="0" containsString="0" containsNumber="1" containsInteger="1" minValue="4" maxValue="1800"/>
    </cacheField>
    <cacheField name="Cost" numFmtId="0">
      <sharedItems containsSemiMixedTypes="0" containsString="0" containsNumber="1" containsInteger="1" minValue="100" maxValue="3900"/>
    </cacheField>
    <cacheField name="Revenue" numFmtId="0">
      <sharedItems containsSemiMixedTypes="0" containsString="0" containsNumber="1" containsInteger="1" minValue="150" maxValue="4950"/>
    </cacheField>
    <cacheField name="profit" numFmtId="0">
      <sharedItems containsSemiMixedTypes="0" containsString="0" containsNumber="1" containsInteger="1" minValue="50" maxValue="1050"/>
    </cacheField>
    <cacheField name="Month helper col" numFmtId="0">
      <sharedItems/>
    </cacheField>
    <cacheField name="Months (Date)" numFmtId="0" databaseField="0">
      <fieldGroup base="1">
        <rangePr groupBy="months" startDate="2025-01-01T00:00:00" endDate="2025-03-22T00:00:00"/>
        <groupItems count="14">
          <s v="&lt;01/01/2025"/>
          <s v="Jan"/>
          <s v="Feb"/>
          <s v="Mar"/>
          <s v="Apr"/>
          <s v="May"/>
          <s v="Jun"/>
          <s v="Jul"/>
          <s v="Aug"/>
          <s v="Sep"/>
          <s v="Oct"/>
          <s v="Nov"/>
          <s v="Dec"/>
          <s v="&gt;22/03/2025"/>
        </groupItems>
      </fieldGroup>
    </cacheField>
    <cacheField name="Years (Date)" numFmtId="0" databaseField="0">
      <fieldGroup base="1">
        <rangePr groupBy="years" startDate="2025-01-01T00:00:00" endDate="2025-03-22T00:00:00"/>
        <groupItems count="3">
          <s v="&lt;01/01/2025"/>
          <s v="2025"/>
          <s v="&gt;22/03/2025"/>
        </groupItems>
      </fieldGroup>
    </cacheField>
  </cacheFields>
  <extLst>
    <ext xmlns:x14="http://schemas.microsoft.com/office/spreadsheetml/2009/9/main" uri="{725AE2AE-9491-48be-B2B4-4EB974FC3084}">
      <x14:pivotCacheDefinition pivotCacheId="13068118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n v="1001"/>
    <x v="0"/>
    <x v="0"/>
    <x v="0"/>
    <x v="0"/>
    <x v="0"/>
    <n v="5"/>
    <n v="800"/>
    <n v="3000"/>
    <n v="4000"/>
    <n v="1000"/>
    <s v="Jan"/>
  </r>
  <r>
    <n v="1002"/>
    <x v="1"/>
    <x v="1"/>
    <x v="1"/>
    <x v="1"/>
    <x v="0"/>
    <n v="8"/>
    <n v="500"/>
    <n v="3100"/>
    <n v="4000"/>
    <n v="900"/>
    <s v="Jan"/>
  </r>
  <r>
    <n v="1003"/>
    <x v="2"/>
    <x v="2"/>
    <x v="2"/>
    <x v="2"/>
    <x v="1"/>
    <n v="6"/>
    <n v="150"/>
    <n v="650"/>
    <n v="900"/>
    <n v="250"/>
    <s v="Jan"/>
  </r>
  <r>
    <n v="1004"/>
    <x v="3"/>
    <x v="3"/>
    <x v="3"/>
    <x v="3"/>
    <x v="2"/>
    <n v="10"/>
    <n v="120"/>
    <n v="850"/>
    <n v="1200"/>
    <n v="350"/>
    <s v="Jan"/>
  </r>
  <r>
    <n v="1005"/>
    <x v="4"/>
    <x v="0"/>
    <x v="0"/>
    <x v="4"/>
    <x v="0"/>
    <n v="7"/>
    <n v="400"/>
    <n v="2100"/>
    <n v="2800"/>
    <n v="700"/>
    <s v="Jan"/>
  </r>
  <r>
    <n v="1006"/>
    <x v="5"/>
    <x v="1"/>
    <x v="1"/>
    <x v="5"/>
    <x v="0"/>
    <n v="9"/>
    <n v="250"/>
    <n v="1700"/>
    <n v="2250"/>
    <n v="550"/>
    <s v="Jan"/>
  </r>
  <r>
    <n v="1007"/>
    <x v="6"/>
    <x v="2"/>
    <x v="2"/>
    <x v="6"/>
    <x v="1"/>
    <n v="15"/>
    <n v="40"/>
    <n v="420"/>
    <n v="600"/>
    <n v="180"/>
    <s v="Jan"/>
  </r>
  <r>
    <n v="1008"/>
    <x v="7"/>
    <x v="3"/>
    <x v="3"/>
    <x v="7"/>
    <x v="2"/>
    <n v="3"/>
    <n v="600"/>
    <n v="1300"/>
    <n v="1800"/>
    <n v="500"/>
    <s v="Jan"/>
  </r>
  <r>
    <n v="1009"/>
    <x v="8"/>
    <x v="0"/>
    <x v="0"/>
    <x v="8"/>
    <x v="0"/>
    <n v="12"/>
    <n v="80"/>
    <n v="700"/>
    <n v="960"/>
    <n v="260"/>
    <s v="Jan"/>
  </r>
  <r>
    <n v="1010"/>
    <x v="9"/>
    <x v="1"/>
    <x v="1"/>
    <x v="9"/>
    <x v="2"/>
    <n v="4"/>
    <n v="200"/>
    <n v="600"/>
    <n v="800"/>
    <n v="200"/>
    <s v="Jan"/>
  </r>
  <r>
    <n v="1011"/>
    <x v="10"/>
    <x v="2"/>
    <x v="2"/>
    <x v="10"/>
    <x v="1"/>
    <n v="5"/>
    <n v="300"/>
    <n v="1100"/>
    <n v="1500"/>
    <n v="400"/>
    <s v="Jan"/>
  </r>
  <r>
    <n v="1012"/>
    <x v="11"/>
    <x v="3"/>
    <x v="3"/>
    <x v="11"/>
    <x v="0"/>
    <n v="6"/>
    <n v="220"/>
    <n v="950"/>
    <n v="1320"/>
    <n v="370"/>
    <s v="Jan"/>
  </r>
  <r>
    <n v="1013"/>
    <x v="12"/>
    <x v="0"/>
    <x v="0"/>
    <x v="12"/>
    <x v="0"/>
    <n v="10"/>
    <n v="90"/>
    <n v="650"/>
    <n v="900"/>
    <n v="250"/>
    <s v="Jan"/>
  </r>
  <r>
    <n v="1014"/>
    <x v="13"/>
    <x v="1"/>
    <x v="1"/>
    <x v="13"/>
    <x v="1"/>
    <n v="5"/>
    <n v="180"/>
    <n v="670"/>
    <n v="900"/>
    <n v="230"/>
    <s v="Jan"/>
  </r>
  <r>
    <n v="1015"/>
    <x v="14"/>
    <x v="2"/>
    <x v="2"/>
    <x v="14"/>
    <x v="2"/>
    <n v="2"/>
    <n v="1200"/>
    <n v="1800"/>
    <n v="2400"/>
    <n v="600"/>
    <s v="Jan"/>
  </r>
  <r>
    <n v="1016"/>
    <x v="15"/>
    <x v="3"/>
    <x v="3"/>
    <x v="15"/>
    <x v="2"/>
    <n v="14"/>
    <n v="60"/>
    <n v="600"/>
    <n v="840"/>
    <n v="240"/>
    <s v="Jan"/>
  </r>
  <r>
    <n v="1017"/>
    <x v="16"/>
    <x v="0"/>
    <x v="0"/>
    <x v="16"/>
    <x v="0"/>
    <n v="20"/>
    <n v="25"/>
    <n v="350"/>
    <n v="500"/>
    <n v="150"/>
    <s v="Jan"/>
  </r>
  <r>
    <n v="1018"/>
    <x v="17"/>
    <x v="1"/>
    <x v="1"/>
    <x v="17"/>
    <x v="0"/>
    <n v="3"/>
    <n v="700"/>
    <n v="1600"/>
    <n v="2100"/>
    <n v="500"/>
    <s v="Jan"/>
  </r>
  <r>
    <n v="1019"/>
    <x v="18"/>
    <x v="2"/>
    <x v="2"/>
    <x v="18"/>
    <x v="1"/>
    <n v="25"/>
    <n v="10"/>
    <n v="180"/>
    <n v="250"/>
    <n v="70"/>
    <s v="Jan"/>
  </r>
  <r>
    <n v="1020"/>
    <x v="19"/>
    <x v="3"/>
    <x v="3"/>
    <x v="19"/>
    <x v="2"/>
    <n v="3"/>
    <n v="500"/>
    <n v="1100"/>
    <n v="1500"/>
    <n v="400"/>
    <s v="Jan"/>
  </r>
  <r>
    <n v="1021"/>
    <x v="20"/>
    <x v="0"/>
    <x v="0"/>
    <x v="20"/>
    <x v="0"/>
    <n v="4"/>
    <n v="900"/>
    <n v="2800"/>
    <n v="3600"/>
    <n v="800"/>
    <s v="Jan"/>
  </r>
  <r>
    <n v="1022"/>
    <x v="21"/>
    <x v="1"/>
    <x v="1"/>
    <x v="21"/>
    <x v="0"/>
    <n v="10"/>
    <n v="120"/>
    <n v="900"/>
    <n v="1200"/>
    <n v="300"/>
    <s v="Jan"/>
  </r>
  <r>
    <n v="1023"/>
    <x v="22"/>
    <x v="2"/>
    <x v="2"/>
    <x v="22"/>
    <x v="1"/>
    <n v="18"/>
    <n v="15"/>
    <n v="200"/>
    <n v="270"/>
    <n v="70"/>
    <s v="Jan"/>
  </r>
  <r>
    <n v="1024"/>
    <x v="23"/>
    <x v="3"/>
    <x v="3"/>
    <x v="23"/>
    <x v="1"/>
    <n v="6"/>
    <n v="140"/>
    <n v="600"/>
    <n v="840"/>
    <n v="240"/>
    <s v="Jan"/>
  </r>
  <r>
    <n v="1025"/>
    <x v="24"/>
    <x v="0"/>
    <x v="0"/>
    <x v="24"/>
    <x v="0"/>
    <n v="3"/>
    <n v="1000"/>
    <n v="2300"/>
    <n v="3000"/>
    <n v="700"/>
    <s v="Jan"/>
  </r>
  <r>
    <n v="1026"/>
    <x v="25"/>
    <x v="1"/>
    <x v="1"/>
    <x v="25"/>
    <x v="0"/>
    <n v="2"/>
    <n v="1500"/>
    <n v="2400"/>
    <n v="3000"/>
    <n v="600"/>
    <s v="Jan"/>
  </r>
  <r>
    <n v="1027"/>
    <x v="26"/>
    <x v="2"/>
    <x v="2"/>
    <x v="26"/>
    <x v="2"/>
    <n v="5"/>
    <n v="350"/>
    <n v="1300"/>
    <n v="1750"/>
    <n v="450"/>
    <s v="Jan"/>
  </r>
  <r>
    <n v="1028"/>
    <x v="27"/>
    <x v="3"/>
    <x v="3"/>
    <x v="27"/>
    <x v="2"/>
    <n v="12"/>
    <n v="90"/>
    <n v="800"/>
    <n v="1080"/>
    <n v="280"/>
    <s v="Jan"/>
  </r>
  <r>
    <n v="1029"/>
    <x v="28"/>
    <x v="0"/>
    <x v="0"/>
    <x v="28"/>
    <x v="0"/>
    <n v="7"/>
    <n v="150"/>
    <n v="780"/>
    <n v="1050"/>
    <n v="270"/>
    <s v="Jan"/>
  </r>
  <r>
    <n v="1030"/>
    <x v="29"/>
    <x v="1"/>
    <x v="1"/>
    <x v="29"/>
    <x v="0"/>
    <n v="9"/>
    <n v="100"/>
    <n v="650"/>
    <n v="900"/>
    <n v="250"/>
    <s v="Jan"/>
  </r>
  <r>
    <n v="1031"/>
    <x v="30"/>
    <x v="2"/>
    <x v="2"/>
    <x v="30"/>
    <x v="1"/>
    <n v="30"/>
    <n v="5"/>
    <n v="100"/>
    <n v="150"/>
    <n v="50"/>
    <s v="Jan"/>
  </r>
  <r>
    <n v="1032"/>
    <x v="31"/>
    <x v="3"/>
    <x v="3"/>
    <x v="31"/>
    <x v="2"/>
    <n v="4"/>
    <n v="300"/>
    <n v="880"/>
    <n v="1200"/>
    <n v="320"/>
    <s v="Feb"/>
  </r>
  <r>
    <n v="1033"/>
    <x v="32"/>
    <x v="0"/>
    <x v="0"/>
    <x v="32"/>
    <x v="0"/>
    <n v="6"/>
    <n v="700"/>
    <n v="3300"/>
    <n v="4200"/>
    <n v="900"/>
    <s v="Feb"/>
  </r>
  <r>
    <n v="1034"/>
    <x v="33"/>
    <x v="1"/>
    <x v="1"/>
    <x v="0"/>
    <x v="0"/>
    <n v="4"/>
    <n v="850"/>
    <n v="2600"/>
    <n v="3400"/>
    <n v="800"/>
    <s v="Feb"/>
  </r>
  <r>
    <n v="1035"/>
    <x v="34"/>
    <x v="2"/>
    <x v="2"/>
    <x v="33"/>
    <x v="2"/>
    <n v="3"/>
    <n v="650"/>
    <n v="1450"/>
    <n v="1950"/>
    <n v="500"/>
    <s v="Feb"/>
  </r>
  <r>
    <n v="1036"/>
    <x v="35"/>
    <x v="3"/>
    <x v="3"/>
    <x v="6"/>
    <x v="1"/>
    <n v="22"/>
    <n v="35"/>
    <n v="550"/>
    <n v="770"/>
    <n v="220"/>
    <s v="Feb"/>
  </r>
  <r>
    <n v="1037"/>
    <x v="36"/>
    <x v="0"/>
    <x v="0"/>
    <x v="5"/>
    <x v="0"/>
    <n v="5"/>
    <n v="300"/>
    <n v="1150"/>
    <n v="1500"/>
    <n v="350"/>
    <s v="Feb"/>
  </r>
  <r>
    <n v="1038"/>
    <x v="37"/>
    <x v="1"/>
    <x v="1"/>
    <x v="4"/>
    <x v="0"/>
    <n v="8"/>
    <n v="380"/>
    <n v="2300"/>
    <n v="3040"/>
    <n v="740"/>
    <s v="Feb"/>
  </r>
  <r>
    <n v="1039"/>
    <x v="38"/>
    <x v="2"/>
    <x v="2"/>
    <x v="2"/>
    <x v="1"/>
    <n v="4"/>
    <n v="200"/>
    <n v="600"/>
    <n v="800"/>
    <n v="200"/>
    <s v="Feb"/>
  </r>
  <r>
    <n v="1040"/>
    <x v="39"/>
    <x v="3"/>
    <x v="3"/>
    <x v="14"/>
    <x v="2"/>
    <n v="2"/>
    <n v="1300"/>
    <n v="2000"/>
    <n v="2600"/>
    <n v="600"/>
    <s v="Feb"/>
  </r>
  <r>
    <n v="1041"/>
    <x v="40"/>
    <x v="0"/>
    <x v="0"/>
    <x v="16"/>
    <x v="0"/>
    <n v="25"/>
    <n v="20"/>
    <n v="350"/>
    <n v="500"/>
    <n v="150"/>
    <s v="Feb"/>
  </r>
  <r>
    <n v="1042"/>
    <x v="41"/>
    <x v="1"/>
    <x v="1"/>
    <x v="20"/>
    <x v="0"/>
    <n v="3"/>
    <n v="950"/>
    <n v="2200"/>
    <n v="2850"/>
    <n v="650"/>
    <s v="Feb"/>
  </r>
  <r>
    <n v="1043"/>
    <x v="42"/>
    <x v="2"/>
    <x v="2"/>
    <x v="18"/>
    <x v="1"/>
    <n v="40"/>
    <n v="8"/>
    <n v="240"/>
    <n v="320"/>
    <n v="80"/>
    <s v="Feb"/>
  </r>
  <r>
    <n v="1044"/>
    <x v="43"/>
    <x v="3"/>
    <x v="3"/>
    <x v="13"/>
    <x v="2"/>
    <n v="3"/>
    <n v="550"/>
    <n v="1250"/>
    <n v="1650"/>
    <n v="400"/>
    <s v="Feb"/>
  </r>
  <r>
    <n v="1045"/>
    <x v="44"/>
    <x v="0"/>
    <x v="0"/>
    <x v="12"/>
    <x v="0"/>
    <n v="12"/>
    <n v="85"/>
    <n v="760"/>
    <n v="1020"/>
    <n v="260"/>
    <s v="Feb"/>
  </r>
  <r>
    <n v="1046"/>
    <x v="45"/>
    <x v="1"/>
    <x v="1"/>
    <x v="17"/>
    <x v="0"/>
    <n v="2"/>
    <n v="750"/>
    <n v="1150"/>
    <n v="1500"/>
    <n v="350"/>
    <s v="Feb"/>
  </r>
  <r>
    <n v="1047"/>
    <x v="46"/>
    <x v="2"/>
    <x v="2"/>
    <x v="22"/>
    <x v="1"/>
    <n v="20"/>
    <n v="18"/>
    <n v="270"/>
    <n v="360"/>
    <n v="90"/>
    <s v="Feb"/>
  </r>
  <r>
    <n v="1048"/>
    <x v="47"/>
    <x v="3"/>
    <x v="3"/>
    <x v="3"/>
    <x v="2"/>
    <n v="8"/>
    <n v="140"/>
    <n v="840"/>
    <n v="1120"/>
    <n v="280"/>
    <s v="Feb"/>
  </r>
  <r>
    <n v="1049"/>
    <x v="48"/>
    <x v="0"/>
    <x v="0"/>
    <x v="24"/>
    <x v="0"/>
    <n v="2"/>
    <n v="1100"/>
    <n v="1700"/>
    <n v="2200"/>
    <n v="500"/>
    <s v="Feb"/>
  </r>
  <r>
    <n v="1050"/>
    <x v="49"/>
    <x v="1"/>
    <x v="1"/>
    <x v="25"/>
    <x v="0"/>
    <n v="1"/>
    <n v="1800"/>
    <n v="1400"/>
    <n v="1800"/>
    <n v="400"/>
    <s v="Feb"/>
  </r>
  <r>
    <n v="1051"/>
    <x v="50"/>
    <x v="2"/>
    <x v="2"/>
    <x v="26"/>
    <x v="2"/>
    <n v="4"/>
    <n v="400"/>
    <n v="1200"/>
    <n v="1600"/>
    <n v="400"/>
    <s v="Feb"/>
  </r>
  <r>
    <n v="1052"/>
    <x v="51"/>
    <x v="3"/>
    <x v="3"/>
    <x v="15"/>
    <x v="2"/>
    <n v="18"/>
    <n v="55"/>
    <n v="730"/>
    <n v="990"/>
    <n v="260"/>
    <s v="Feb"/>
  </r>
  <r>
    <n v="1053"/>
    <x v="52"/>
    <x v="0"/>
    <x v="0"/>
    <x v="28"/>
    <x v="0"/>
    <n v="10"/>
    <n v="130"/>
    <n v="980"/>
    <n v="1300"/>
    <n v="320"/>
    <s v="Feb"/>
  </r>
  <r>
    <n v="1054"/>
    <x v="53"/>
    <x v="1"/>
    <x v="1"/>
    <x v="29"/>
    <x v="0"/>
    <n v="12"/>
    <n v="95"/>
    <n v="850"/>
    <n v="1140"/>
    <n v="290"/>
    <s v="Feb"/>
  </r>
  <r>
    <n v="1055"/>
    <x v="54"/>
    <x v="2"/>
    <x v="2"/>
    <x v="30"/>
    <x v="1"/>
    <n v="50"/>
    <n v="4"/>
    <n v="150"/>
    <n v="200"/>
    <n v="50"/>
    <s v="Feb"/>
  </r>
  <r>
    <n v="1056"/>
    <x v="55"/>
    <x v="3"/>
    <x v="3"/>
    <x v="31"/>
    <x v="2"/>
    <n v="5"/>
    <n v="320"/>
    <n v="1200"/>
    <n v="1600"/>
    <n v="400"/>
    <s v="Feb"/>
  </r>
  <r>
    <n v="1057"/>
    <x v="56"/>
    <x v="0"/>
    <x v="0"/>
    <x v="11"/>
    <x v="0"/>
    <n v="7"/>
    <n v="210"/>
    <n v="1100"/>
    <n v="1470"/>
    <n v="370"/>
    <s v="Feb"/>
  </r>
  <r>
    <n v="1058"/>
    <x v="57"/>
    <x v="1"/>
    <x v="1"/>
    <x v="21"/>
    <x v="0"/>
    <n v="15"/>
    <n v="100"/>
    <n v="1100"/>
    <n v="1500"/>
    <n v="400"/>
    <s v="Feb"/>
  </r>
  <r>
    <n v="1059"/>
    <x v="58"/>
    <x v="2"/>
    <x v="2"/>
    <x v="23"/>
    <x v="1"/>
    <n v="5"/>
    <n v="160"/>
    <n v="600"/>
    <n v="800"/>
    <n v="200"/>
    <s v="Feb"/>
  </r>
  <r>
    <n v="1060"/>
    <x v="59"/>
    <x v="3"/>
    <x v="3"/>
    <x v="9"/>
    <x v="2"/>
    <n v="6"/>
    <n v="230"/>
    <n v="1030"/>
    <n v="1380"/>
    <n v="350"/>
    <s v="Mar"/>
  </r>
  <r>
    <n v="1061"/>
    <x v="60"/>
    <x v="0"/>
    <x v="0"/>
    <x v="0"/>
    <x v="0"/>
    <n v="3"/>
    <n v="900"/>
    <n v="2100"/>
    <n v="2700"/>
    <n v="600"/>
    <s v="Mar"/>
  </r>
  <r>
    <n v="1062"/>
    <x v="61"/>
    <x v="1"/>
    <x v="1"/>
    <x v="1"/>
    <x v="0"/>
    <n v="9"/>
    <n v="550"/>
    <n v="3900"/>
    <n v="4950"/>
    <n v="1050"/>
    <s v="Mar"/>
  </r>
  <r>
    <n v="1063"/>
    <x v="62"/>
    <x v="2"/>
    <x v="2"/>
    <x v="2"/>
    <x v="1"/>
    <n v="5"/>
    <n v="180"/>
    <n v="670"/>
    <n v="900"/>
    <n v="230"/>
    <s v="Mar"/>
  </r>
  <r>
    <n v="1064"/>
    <x v="63"/>
    <x v="3"/>
    <x v="3"/>
    <x v="33"/>
    <x v="2"/>
    <n v="2"/>
    <n v="700"/>
    <n v="1050"/>
    <n v="1400"/>
    <n v="350"/>
    <s v="Mar"/>
  </r>
  <r>
    <n v="1065"/>
    <x v="64"/>
    <x v="0"/>
    <x v="0"/>
    <x v="5"/>
    <x v="0"/>
    <n v="6"/>
    <n v="280"/>
    <n v="1300"/>
    <n v="1680"/>
    <n v="380"/>
    <s v="Mar"/>
  </r>
  <r>
    <n v="1066"/>
    <x v="65"/>
    <x v="1"/>
    <x v="1"/>
    <x v="4"/>
    <x v="0"/>
    <n v="10"/>
    <n v="420"/>
    <n v="3200"/>
    <n v="4200"/>
    <n v="1000"/>
    <s v="Mar"/>
  </r>
  <r>
    <n v="1067"/>
    <x v="66"/>
    <x v="2"/>
    <x v="2"/>
    <x v="18"/>
    <x v="1"/>
    <n v="35"/>
    <n v="9"/>
    <n v="230"/>
    <n v="315"/>
    <n v="85"/>
    <s v="Mar"/>
  </r>
  <r>
    <n v="1068"/>
    <x v="67"/>
    <x v="3"/>
    <x v="3"/>
    <x v="14"/>
    <x v="2"/>
    <n v="1"/>
    <n v="1500"/>
    <n v="1150"/>
    <n v="1500"/>
    <n v="350"/>
    <s v="Mar"/>
  </r>
  <r>
    <n v="1069"/>
    <x v="68"/>
    <x v="0"/>
    <x v="0"/>
    <x v="12"/>
    <x v="0"/>
    <n v="15"/>
    <n v="95"/>
    <n v="1050"/>
    <n v="1425"/>
    <n v="375"/>
    <s v="Mar"/>
  </r>
  <r>
    <n v="1070"/>
    <x v="69"/>
    <x v="1"/>
    <x v="1"/>
    <x v="20"/>
    <x v="0"/>
    <n v="2"/>
    <n v="1000"/>
    <n v="1550"/>
    <n v="2000"/>
    <n v="450"/>
    <s v="Mar"/>
  </r>
  <r>
    <n v="1071"/>
    <x v="70"/>
    <x v="2"/>
    <x v="2"/>
    <x v="22"/>
    <x v="1"/>
    <n v="25"/>
    <n v="12"/>
    <n v="220"/>
    <n v="300"/>
    <n v="80"/>
    <s v="Mar"/>
  </r>
  <r>
    <n v="1072"/>
    <x v="71"/>
    <x v="3"/>
    <x v="3"/>
    <x v="13"/>
    <x v="2"/>
    <n v="4"/>
    <n v="600"/>
    <n v="1800"/>
    <n v="2400"/>
    <n v="600"/>
    <s v="Mar"/>
  </r>
  <r>
    <n v="1073"/>
    <x v="72"/>
    <x v="0"/>
    <x v="0"/>
    <x v="24"/>
    <x v="0"/>
    <n v="1"/>
    <n v="1200"/>
    <n v="900"/>
    <n v="1200"/>
    <n v="300"/>
    <s v="Mar"/>
  </r>
  <r>
    <n v="1074"/>
    <x v="73"/>
    <x v="1"/>
    <x v="1"/>
    <x v="25"/>
    <x v="0"/>
    <n v="2"/>
    <n v="1700"/>
    <n v="2600"/>
    <n v="3400"/>
    <n v="800"/>
    <s v="Mar"/>
  </r>
  <r>
    <n v="1075"/>
    <x v="74"/>
    <x v="2"/>
    <x v="2"/>
    <x v="26"/>
    <x v="2"/>
    <n v="3"/>
    <n v="450"/>
    <n v="1000"/>
    <n v="1350"/>
    <n v="350"/>
    <s v="Mar"/>
  </r>
  <r>
    <n v="1076"/>
    <x v="75"/>
    <x v="3"/>
    <x v="3"/>
    <x v="15"/>
    <x v="2"/>
    <n v="20"/>
    <n v="50"/>
    <n v="750"/>
    <n v="1000"/>
    <n v="250"/>
    <s v="Mar"/>
  </r>
  <r>
    <n v="1077"/>
    <x v="76"/>
    <x v="0"/>
    <x v="0"/>
    <x v="16"/>
    <x v="0"/>
    <n v="30"/>
    <n v="22"/>
    <n v="480"/>
    <n v="660"/>
    <n v="180"/>
    <s v="Mar"/>
  </r>
  <r>
    <n v="1078"/>
    <x v="77"/>
    <x v="1"/>
    <x v="1"/>
    <x v="28"/>
    <x v="0"/>
    <n v="8"/>
    <n v="160"/>
    <n v="950"/>
    <n v="1280"/>
    <n v="330"/>
    <s v="Mar"/>
  </r>
  <r>
    <n v="1079"/>
    <x v="78"/>
    <x v="2"/>
    <x v="2"/>
    <x v="23"/>
    <x v="1"/>
    <n v="6"/>
    <n v="150"/>
    <n v="680"/>
    <n v="900"/>
    <n v="220"/>
    <s v="Mar"/>
  </r>
  <r>
    <n v="1080"/>
    <x v="79"/>
    <x v="3"/>
    <x v="3"/>
    <x v="9"/>
    <x v="2"/>
    <n v="5"/>
    <n v="250"/>
    <n v="950"/>
    <n v="1250"/>
    <n v="300"/>
    <s v="Ma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AAB1F5-D4F4-42F3-A004-9EAB39EA1DE4}" name="Category profi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Category">
  <location ref="A16:B20" firstHeaderRow="1" firstDataRow="1" firstDataCol="1"/>
  <pivotFields count="14">
    <pivotField showAll="0"/>
    <pivotField numFmtId="15"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showAll="0">
      <items count="5">
        <item x="2"/>
        <item x="0"/>
        <item x="1"/>
        <item x="3"/>
        <item t="default"/>
      </items>
    </pivotField>
    <pivotField showAll="0"/>
    <pivotField showAll="0"/>
    <pivotField axis="axisRow" showAll="0">
      <items count="4">
        <item x="0"/>
        <item x="2"/>
        <item x="1"/>
        <item t="default"/>
      </items>
    </pivotField>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5"/>
  </rowFields>
  <rowItems count="4">
    <i>
      <x/>
    </i>
    <i>
      <x v="1"/>
    </i>
    <i>
      <x v="2"/>
    </i>
    <i t="grand">
      <x/>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A0B065-7C14-48C6-8025-C3D13DAA9BB4}" name="Salesman performanc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Salesperson">
  <location ref="D16:F21" firstHeaderRow="0" firstDataRow="1" firstDataCol="1"/>
  <pivotFields count="14">
    <pivotField showAll="0"/>
    <pivotField numFmtId="15"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showAll="0">
      <items count="5">
        <item x="2"/>
        <item x="0"/>
        <item x="1"/>
        <item x="3"/>
        <item t="default"/>
      </items>
    </pivotField>
    <pivotField axis="axisRow" showAll="0">
      <items count="5">
        <item x="2"/>
        <item x="3"/>
        <item x="0"/>
        <item x="1"/>
        <item t="default"/>
      </items>
    </pivotField>
    <pivotField showAll="0"/>
    <pivotField showAll="0"/>
    <pivotField showAll="0"/>
    <pivotField showAll="0"/>
    <pivotField showAll="0"/>
    <pivotField dataField="1" showAll="0"/>
    <pivotField dataField="1"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3"/>
  </rowFields>
  <rowItems count="5">
    <i>
      <x/>
    </i>
    <i>
      <x v="1"/>
    </i>
    <i>
      <x v="2"/>
    </i>
    <i>
      <x v="3"/>
    </i>
    <i t="grand">
      <x/>
    </i>
  </rowItems>
  <colFields count="1">
    <field x="-2"/>
  </colFields>
  <colItems count="2">
    <i>
      <x/>
    </i>
    <i i="1">
      <x v="1"/>
    </i>
  </colItems>
  <dataFields count="2">
    <dataField name="Sum of Revenue" fld="9" baseField="0" baseItem="0"/>
    <dataField name="Sum of profit" fld="10"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3AB19B-C4FC-431F-AA58-11520F0262A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location ref="D9:E13" firstHeaderRow="1" firstDataRow="1" firstDataCol="1"/>
  <pivotFields count="14">
    <pivotField showAll="0"/>
    <pivotField numFmtId="15"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showAll="0"/>
    <pivotField showAll="0"/>
    <pivotField showAll="0"/>
    <pivotField axis="axisRow" showAll="0">
      <items count="4">
        <item x="0"/>
        <item x="2"/>
        <item x="1"/>
        <item t="default"/>
      </items>
    </pivotField>
    <pivotField dataField="1" showAll="0"/>
    <pivotField showAll="0"/>
    <pivotField showAll="0"/>
    <pivotField showAll="0"/>
    <pivotField showAll="0"/>
    <pivotField showAll="0"/>
    <pivotField showAll="0" defaultSubtotal="0"/>
    <pivotField showAll="0" defaultSubtotal="0">
      <items count="3">
        <item x="0"/>
        <item x="1"/>
        <item x="2"/>
      </items>
    </pivotField>
  </pivotFields>
  <rowFields count="1">
    <field x="5"/>
  </rowFields>
  <rowItems count="4">
    <i>
      <x/>
    </i>
    <i>
      <x v="1"/>
    </i>
    <i>
      <x v="2"/>
    </i>
    <i t="grand">
      <x/>
    </i>
  </rowItems>
  <colItems count="1">
    <i/>
  </colItems>
  <dataFields count="1">
    <dataField name="Sum of Units" fld="6" baseField="0" baseItem="0"/>
  </dataFields>
  <formats count="4">
    <format dxfId="3">
      <pivotArea field="5" type="button" dataOnly="0" labelOnly="1" outline="0" axis="axisRow" fieldPosition="0"/>
    </format>
    <format dxfId="2">
      <pivotArea dataOnly="0" labelOnly="1" outline="0" axis="axisValues" fieldPosition="0"/>
    </format>
    <format dxfId="1">
      <pivotArea field="5" type="button" dataOnly="0" labelOnly="1" outline="0" axis="axisRow" fieldPosition="0"/>
    </format>
    <format dxfId="0">
      <pivotArea dataOnly="0" labelOnly="1" outline="0" axis="axisValues" fieldPosition="0"/>
    </format>
  </formats>
  <chartFormats count="5">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5" count="1" selected="0">
            <x v="0"/>
          </reference>
        </references>
      </pivotArea>
    </chartFormat>
    <chartFormat chart="3" format="7">
      <pivotArea type="data" outline="0" fieldPosition="0">
        <references count="2">
          <reference field="4294967294" count="1" selected="0">
            <x v="0"/>
          </reference>
          <reference field="5" count="1" selected="0">
            <x v="1"/>
          </reference>
        </references>
      </pivotArea>
    </chartFormat>
    <chartFormat chart="3"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6DFF11-2686-43EE-B931-022109CF3A9C}" name="Monthly sales trend"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rowHeaderCaption="Month">
  <location ref="A9:B14" firstHeaderRow="1" firstDataRow="1" firstDataCol="1"/>
  <pivotFields count="14">
    <pivotField showAll="0"/>
    <pivotField numFmtId="15"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showAll="0">
      <items count="5">
        <item x="2"/>
        <item x="0"/>
        <item x="1"/>
        <item x="3"/>
        <item t="default"/>
      </items>
    </pivotField>
    <pivotField showAll="0"/>
    <pivotField showAll="0"/>
    <pivotField showAll="0"/>
    <pivotField showAll="0"/>
    <pivotField showAll="0"/>
    <pivotField showAll="0"/>
    <pivotField dataField="1"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s>
  <rowFields count="2">
    <field x="13"/>
    <field x="12"/>
  </rowFields>
  <rowItems count="5">
    <i>
      <x v="1"/>
    </i>
    <i r="1">
      <x v="1"/>
    </i>
    <i r="1">
      <x v="2"/>
    </i>
    <i r="1">
      <x v="3"/>
    </i>
    <i t="grand">
      <x/>
    </i>
  </rowItems>
  <colItems count="1">
    <i/>
  </colItems>
  <dataFields count="1">
    <dataField name="Sum of Revenue" fld="9" baseField="0" baseItem="0"/>
  </dataField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725E01-76D4-4FA9-B79E-498FF0D04C3A}" name="Revenue by produc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Product">
  <location ref="D1:E7" firstHeaderRow="1" firstDataRow="1" firstDataCol="1"/>
  <pivotFields count="14">
    <pivotField showAll="0"/>
    <pivotField numFmtId="15"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showAll="0">
      <items count="5">
        <item x="2"/>
        <item x="0"/>
        <item x="1"/>
        <item x="3"/>
        <item t="default"/>
      </items>
    </pivotField>
    <pivotField showAll="0"/>
    <pivotField axis="axisRow" showAll="0" measureFilter="1">
      <items count="35">
        <item x="25"/>
        <item x="9"/>
        <item x="13"/>
        <item x="20"/>
        <item x="27"/>
        <item x="19"/>
        <item x="33"/>
        <item x="3"/>
        <item x="31"/>
        <item x="21"/>
        <item x="29"/>
        <item x="8"/>
        <item x="6"/>
        <item x="15"/>
        <item x="0"/>
        <item x="1"/>
        <item x="5"/>
        <item x="16"/>
        <item x="18"/>
        <item x="7"/>
        <item x="30"/>
        <item x="2"/>
        <item x="17"/>
        <item x="12"/>
        <item x="10"/>
        <item x="32"/>
        <item x="11"/>
        <item x="14"/>
        <item x="28"/>
        <item x="22"/>
        <item x="26"/>
        <item x="4"/>
        <item x="24"/>
        <item x="23"/>
        <item t="default"/>
      </items>
    </pivotField>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4"/>
  </rowFields>
  <rowItems count="6">
    <i>
      <x/>
    </i>
    <i>
      <x v="3"/>
    </i>
    <i>
      <x v="14"/>
    </i>
    <i>
      <x v="15"/>
    </i>
    <i>
      <x v="31"/>
    </i>
    <i t="grand">
      <x/>
    </i>
  </rowItems>
  <colItems count="1">
    <i/>
  </colItems>
  <dataFields count="1">
    <dataField name="Sum of Revenue" fld="9"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E3998B-4B46-4C60-9BF0-95162D3CDBBE}" name="Revenue by region"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2" rowHeaderCaption="Region">
  <location ref="A1:B5" firstHeaderRow="1" firstDataRow="1" firstDataCol="1"/>
  <pivotFields count="14">
    <pivotField showAll="0"/>
    <pivotField numFmtId="15" showAll="0">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items count="35">
        <item x="25"/>
        <item x="9"/>
        <item x="13"/>
        <item x="20"/>
        <item x="27"/>
        <item x="19"/>
        <item x="33"/>
        <item x="3"/>
        <item x="31"/>
        <item x="21"/>
        <item x="29"/>
        <item x="8"/>
        <item x="6"/>
        <item x="15"/>
        <item x="0"/>
        <item x="1"/>
        <item x="5"/>
        <item x="16"/>
        <item x="18"/>
        <item x="7"/>
        <item x="30"/>
        <item x="2"/>
        <item x="17"/>
        <item x="12"/>
        <item x="10"/>
        <item x="32"/>
        <item x="11"/>
        <item x="14"/>
        <item x="28"/>
        <item x="22"/>
        <item x="26"/>
        <item x="4"/>
        <item x="24"/>
        <item x="23"/>
        <item t="default"/>
      </items>
    </pivotField>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2"/>
  </rowFields>
  <rowItems count="4">
    <i>
      <x/>
    </i>
    <i>
      <x v="3"/>
    </i>
    <i>
      <x v="1"/>
    </i>
    <i>
      <x v="2"/>
    </i>
  </rowItems>
  <colItems count="1">
    <i/>
  </colItems>
  <dataFields count="1">
    <dataField name="Sum of Revenue" fld="9" baseField="0" baseItem="0"/>
  </dataFields>
  <formats count="4">
    <format dxfId="7">
      <pivotArea dataOnly="0" labelOnly="1" outline="0" axis="axisValues" fieldPosition="0"/>
    </format>
    <format dxfId="6">
      <pivotArea dataOnly="0" labelOnly="1" outline="0" axis="axisValues" fieldPosition="0"/>
    </format>
    <format dxfId="5">
      <pivotArea field="2" type="button" dataOnly="0" labelOnly="1" outline="0" axis="axisRow" fieldPosition="0"/>
    </format>
    <format dxfId="4">
      <pivotArea field="2" type="button" dataOnly="0" labelOnly="1" outline="0" axis="axisRow" fieldPosition="0"/>
    </format>
  </formats>
  <chartFormats count="5">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315808C4-F617-4915-81BC-848C10315AC3}" sourceName="Months (Date)">
  <pivotTables>
    <pivotTable tabId="10" name="Revenue by region"/>
  </pivotTables>
  <data>
    <tabular pivotCacheId="1306811888">
      <items count="14">
        <i x="1" s="1"/>
        <i x="2" s="1"/>
        <i x="3" s="1"/>
        <i x="4" s="1" nd="1"/>
        <i x="5" s="1" nd="1"/>
        <i x="6" s="1" nd="1"/>
        <i x="7" s="1" nd="1"/>
        <i x="8" s="1" nd="1"/>
        <i x="9" s="1" nd="1"/>
        <i x="10" s="1" nd="1"/>
        <i x="11" s="1" nd="1"/>
        <i x="12" s="1" nd="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F7CBB22-B499-49B6-B916-2F952550EA80}" sourceName="Product">
  <pivotTables>
    <pivotTable tabId="10" name="Revenue by region"/>
  </pivotTables>
  <data>
    <tabular pivotCacheId="1306811888">
      <items count="34">
        <i x="25" s="1"/>
        <i x="9" s="1"/>
        <i x="13" s="1"/>
        <i x="20" s="1"/>
        <i x="27" s="1"/>
        <i x="19" s="1"/>
        <i x="33" s="1"/>
        <i x="3" s="1"/>
        <i x="31" s="1"/>
        <i x="21" s="1"/>
        <i x="29" s="1"/>
        <i x="8" s="1"/>
        <i x="6" s="1"/>
        <i x="15" s="1"/>
        <i x="0" s="1"/>
        <i x="1" s="1"/>
        <i x="5" s="1"/>
        <i x="16" s="1"/>
        <i x="18" s="1"/>
        <i x="7" s="1"/>
        <i x="30" s="1"/>
        <i x="2" s="1"/>
        <i x="17" s="1"/>
        <i x="12" s="1"/>
        <i x="10" s="1"/>
        <i x="32" s="1"/>
        <i x="11" s="1"/>
        <i x="14" s="1"/>
        <i x="28" s="1"/>
        <i x="22" s="1"/>
        <i x="26" s="1"/>
        <i x="4" s="1"/>
        <i x="24" s="1"/>
        <i x="2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7C51494-B326-417A-B457-E41B6738CCEE}" sourceName="Region">
  <pivotTables>
    <pivotTable tabId="10" name="Revenue by region"/>
    <pivotTable tabId="10" name="Revenue by product"/>
    <pivotTable tabId="10" name="Monthly sales trend"/>
    <pivotTable tabId="10" name="Salesman performance"/>
    <pivotTable tabId="10" name="Category profit"/>
  </pivotTables>
  <data>
    <tabular pivotCacheId="1306811888">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7D8FC577-BE1C-429C-9945-4077D26E6C52}" cache="Slicer_Months__Date" caption="Months (Date)" startItem="1" rowHeight="257175"/>
  <slicer name="Product" xr10:uid="{F8BBE881-953D-4921-8C10-308CA5D0E0DC}" cache="Slicer_Product" caption="Product" startItem="11" rowHeight="257175"/>
  <slicer name="Region" xr10:uid="{705136BF-41B5-4EC9-BCC0-700F96B2A796}" cache="Slicer_Region" caption="Region"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DE394509-5E6F-4196-91FA-D26FF052F9E8}" sourceName="Date">
  <pivotTables>
    <pivotTable tabId="10" name="Revenue by region"/>
    <pivotTable tabId="10" name="Revenue by product"/>
    <pivotTable tabId="10" name="Monthly sales trend"/>
    <pivotTable tabId="10" name="Salesman performance"/>
    <pivotTable tabId="10" name="Category profit"/>
  </pivotTables>
  <state minimalRefreshVersion="6" lastRefreshVersion="6" pivotCacheId="1306811888"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631C392E-C678-43C8-9661-92E00EE79FDF}" cache="NativeTimeline_Date" caption="Date" level="3" selectionLevel="2" scrollPosition="2025-01-01T00:00:00"/>
</timeline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27F42-FFDD-45F9-8C10-EC5940F41EFE}">
  <dimension ref="A1:I81"/>
  <sheetViews>
    <sheetView topLeftCell="A15" workbookViewId="0">
      <selection activeCell="M13" sqref="M13"/>
    </sheetView>
  </sheetViews>
  <sheetFormatPr defaultRowHeight="15" x14ac:dyDescent="0.25"/>
  <cols>
    <col min="1" max="1" width="11.140625" customWidth="1"/>
    <col min="2" max="2" width="13.85546875" customWidth="1"/>
    <col min="3" max="3" width="9.42578125" customWidth="1"/>
    <col min="4" max="4" width="14.28515625" customWidth="1"/>
    <col min="5" max="5" width="15" customWidth="1"/>
    <col min="6" max="6" width="13.85546875" customWidth="1"/>
    <col min="8" max="8" width="13.85546875" customWidth="1"/>
  </cols>
  <sheetData>
    <row r="1" spans="1:9" ht="19.5" customHeight="1" x14ac:dyDescent="0.25">
      <c r="A1" s="5" t="s">
        <v>0</v>
      </c>
      <c r="B1" s="5" t="s">
        <v>1</v>
      </c>
      <c r="C1" s="5" t="s">
        <v>2</v>
      </c>
      <c r="D1" s="5" t="s">
        <v>3</v>
      </c>
      <c r="E1" s="5" t="s">
        <v>4</v>
      </c>
      <c r="F1" s="5" t="s">
        <v>5</v>
      </c>
      <c r="G1" s="5" t="s">
        <v>6</v>
      </c>
      <c r="H1" s="7" t="s">
        <v>7</v>
      </c>
      <c r="I1" s="10" t="s">
        <v>9</v>
      </c>
    </row>
    <row r="2" spans="1:9" ht="16.5" customHeight="1" x14ac:dyDescent="0.25">
      <c r="A2" s="1">
        <v>1001</v>
      </c>
      <c r="B2" s="2">
        <v>45658</v>
      </c>
      <c r="C2" s="1" t="s">
        <v>10</v>
      </c>
      <c r="D2" s="1" t="s">
        <v>11</v>
      </c>
      <c r="E2" s="1" t="s">
        <v>12</v>
      </c>
      <c r="F2" s="1" t="s">
        <v>13</v>
      </c>
      <c r="G2" s="1">
        <v>5</v>
      </c>
      <c r="H2" s="8">
        <v>800</v>
      </c>
      <c r="I2" s="11">
        <v>3000</v>
      </c>
    </row>
    <row r="3" spans="1:9" ht="14.25" customHeight="1" x14ac:dyDescent="0.25">
      <c r="A3" s="3">
        <v>1002</v>
      </c>
      <c r="B3" s="4">
        <v>45659</v>
      </c>
      <c r="C3" s="3" t="s">
        <v>14</v>
      </c>
      <c r="D3" s="3" t="s">
        <v>15</v>
      </c>
      <c r="E3" s="3" t="s">
        <v>16</v>
      </c>
      <c r="F3" s="3" t="s">
        <v>13</v>
      </c>
      <c r="G3" s="3">
        <v>8</v>
      </c>
      <c r="H3" s="9">
        <v>500</v>
      </c>
      <c r="I3" s="12">
        <v>3100</v>
      </c>
    </row>
    <row r="4" spans="1:9" ht="13.5" customHeight="1" x14ac:dyDescent="0.25">
      <c r="A4" s="1">
        <v>1003</v>
      </c>
      <c r="B4" s="2">
        <v>45660</v>
      </c>
      <c r="C4" s="1" t="s">
        <v>17</v>
      </c>
      <c r="D4" s="1" t="s">
        <v>18</v>
      </c>
      <c r="E4" s="1" t="s">
        <v>19</v>
      </c>
      <c r="F4" s="1" t="s">
        <v>20</v>
      </c>
      <c r="G4" s="1">
        <v>6</v>
      </c>
      <c r="H4" s="8">
        <v>150</v>
      </c>
      <c r="I4" s="11">
        <v>650</v>
      </c>
    </row>
    <row r="5" spans="1:9" ht="13.5" customHeight="1" x14ac:dyDescent="0.25">
      <c r="A5" s="3">
        <v>1004</v>
      </c>
      <c r="B5" s="4">
        <v>45661</v>
      </c>
      <c r="C5" s="3" t="s">
        <v>21</v>
      </c>
      <c r="D5" s="3" t="s">
        <v>22</v>
      </c>
      <c r="E5" s="3" t="s">
        <v>23</v>
      </c>
      <c r="F5" s="3" t="s">
        <v>24</v>
      </c>
      <c r="G5" s="3">
        <v>10</v>
      </c>
      <c r="H5" s="9">
        <v>120</v>
      </c>
      <c r="I5" s="12">
        <v>850</v>
      </c>
    </row>
    <row r="6" spans="1:9" ht="15" customHeight="1" x14ac:dyDescent="0.25">
      <c r="A6" s="1">
        <v>1005</v>
      </c>
      <c r="B6" s="2">
        <v>45662</v>
      </c>
      <c r="C6" s="1" t="s">
        <v>10</v>
      </c>
      <c r="D6" s="1" t="s">
        <v>11</v>
      </c>
      <c r="E6" s="1" t="s">
        <v>25</v>
      </c>
      <c r="F6" s="1" t="s">
        <v>13</v>
      </c>
      <c r="G6" s="1">
        <v>7</v>
      </c>
      <c r="H6" s="8">
        <v>400</v>
      </c>
      <c r="I6" s="11">
        <v>2100</v>
      </c>
    </row>
    <row r="7" spans="1:9" ht="13.5" customHeight="1" x14ac:dyDescent="0.25">
      <c r="A7" s="3">
        <v>1006</v>
      </c>
      <c r="B7" s="4">
        <v>45663</v>
      </c>
      <c r="C7" s="3" t="s">
        <v>14</v>
      </c>
      <c r="D7" s="3" t="s">
        <v>15</v>
      </c>
      <c r="E7" s="3" t="s">
        <v>26</v>
      </c>
      <c r="F7" s="3" t="s">
        <v>13</v>
      </c>
      <c r="G7" s="3">
        <v>9</v>
      </c>
      <c r="H7" s="9">
        <v>250</v>
      </c>
      <c r="I7" s="12">
        <v>1700</v>
      </c>
    </row>
    <row r="8" spans="1:9" ht="16.5" customHeight="1" x14ac:dyDescent="0.25">
      <c r="A8" s="1">
        <v>1007</v>
      </c>
      <c r="B8" s="2">
        <v>45664</v>
      </c>
      <c r="C8" s="1" t="s">
        <v>17</v>
      </c>
      <c r="D8" s="1" t="s">
        <v>18</v>
      </c>
      <c r="E8" s="1" t="s">
        <v>27</v>
      </c>
      <c r="F8" s="1" t="s">
        <v>20</v>
      </c>
      <c r="G8" s="1">
        <v>15</v>
      </c>
      <c r="H8" s="8">
        <v>40</v>
      </c>
      <c r="I8" s="11">
        <v>420</v>
      </c>
    </row>
    <row r="9" spans="1:9" ht="12" customHeight="1" x14ac:dyDescent="0.25">
      <c r="A9" s="3">
        <v>1008</v>
      </c>
      <c r="B9" s="4">
        <v>45665</v>
      </c>
      <c r="C9" s="3" t="s">
        <v>21</v>
      </c>
      <c r="D9" s="3" t="s">
        <v>22</v>
      </c>
      <c r="E9" s="3" t="s">
        <v>28</v>
      </c>
      <c r="F9" s="3" t="s">
        <v>24</v>
      </c>
      <c r="G9" s="3">
        <v>3</v>
      </c>
      <c r="H9" s="9">
        <v>600</v>
      </c>
      <c r="I9" s="12">
        <v>1300</v>
      </c>
    </row>
    <row r="10" spans="1:9" ht="18" customHeight="1" x14ac:dyDescent="0.25">
      <c r="A10" s="1">
        <v>1009</v>
      </c>
      <c r="B10" s="2">
        <v>45666</v>
      </c>
      <c r="C10" s="1" t="s">
        <v>10</v>
      </c>
      <c r="D10" s="1" t="s">
        <v>11</v>
      </c>
      <c r="E10" s="1" t="s">
        <v>29</v>
      </c>
      <c r="F10" s="1" t="s">
        <v>13</v>
      </c>
      <c r="G10" s="1">
        <v>12</v>
      </c>
      <c r="H10" s="8">
        <v>80</v>
      </c>
      <c r="I10" s="11">
        <v>700</v>
      </c>
    </row>
    <row r="11" spans="1:9" ht="13.5" customHeight="1" x14ac:dyDescent="0.25">
      <c r="A11" s="3">
        <v>1010</v>
      </c>
      <c r="B11" s="4">
        <v>45667</v>
      </c>
      <c r="C11" s="3" t="s">
        <v>14</v>
      </c>
      <c r="D11" s="3" t="s">
        <v>15</v>
      </c>
      <c r="E11" s="3" t="s">
        <v>30</v>
      </c>
      <c r="F11" s="3" t="s">
        <v>24</v>
      </c>
      <c r="G11" s="3">
        <v>4</v>
      </c>
      <c r="H11" s="9">
        <v>200</v>
      </c>
      <c r="I11" s="12">
        <v>600</v>
      </c>
    </row>
    <row r="12" spans="1:9" ht="15" customHeight="1" x14ac:dyDescent="0.25">
      <c r="A12" s="1">
        <v>1011</v>
      </c>
      <c r="B12" s="2">
        <v>45668</v>
      </c>
      <c r="C12" s="1" t="s">
        <v>17</v>
      </c>
      <c r="D12" s="1" t="s">
        <v>18</v>
      </c>
      <c r="E12" s="1" t="s">
        <v>31</v>
      </c>
      <c r="F12" s="1" t="s">
        <v>20</v>
      </c>
      <c r="G12" s="1">
        <v>5</v>
      </c>
      <c r="H12" s="8">
        <v>300</v>
      </c>
      <c r="I12" s="11">
        <v>1100</v>
      </c>
    </row>
    <row r="13" spans="1:9" ht="15" customHeight="1" x14ac:dyDescent="0.25">
      <c r="A13" s="3">
        <v>1012</v>
      </c>
      <c r="B13" s="4">
        <v>45669</v>
      </c>
      <c r="C13" s="3" t="s">
        <v>21</v>
      </c>
      <c r="D13" s="3" t="s">
        <v>22</v>
      </c>
      <c r="E13" s="3" t="s">
        <v>32</v>
      </c>
      <c r="F13" s="3" t="s">
        <v>13</v>
      </c>
      <c r="G13" s="3">
        <v>6</v>
      </c>
      <c r="H13" s="9">
        <v>220</v>
      </c>
      <c r="I13" s="12">
        <v>950</v>
      </c>
    </row>
    <row r="14" spans="1:9" ht="17.25" customHeight="1" x14ac:dyDescent="0.25">
      <c r="A14" s="1">
        <v>1013</v>
      </c>
      <c r="B14" s="2">
        <v>45670</v>
      </c>
      <c r="C14" s="1" t="s">
        <v>10</v>
      </c>
      <c r="D14" s="1" t="s">
        <v>11</v>
      </c>
      <c r="E14" s="1" t="s">
        <v>33</v>
      </c>
      <c r="F14" s="1" t="s">
        <v>13</v>
      </c>
      <c r="G14" s="1">
        <v>10</v>
      </c>
      <c r="H14" s="8">
        <v>90</v>
      </c>
      <c r="I14" s="11">
        <v>650</v>
      </c>
    </row>
    <row r="15" spans="1:9" ht="15.75" customHeight="1" x14ac:dyDescent="0.25">
      <c r="A15" s="3">
        <v>1014</v>
      </c>
      <c r="B15" s="4">
        <v>45671</v>
      </c>
      <c r="C15" s="3" t="s">
        <v>14</v>
      </c>
      <c r="D15" s="3" t="s">
        <v>15</v>
      </c>
      <c r="E15" s="3" t="s">
        <v>34</v>
      </c>
      <c r="F15" s="3" t="s">
        <v>20</v>
      </c>
      <c r="G15" s="3">
        <v>5</v>
      </c>
      <c r="H15" s="9">
        <v>180</v>
      </c>
      <c r="I15" s="12">
        <v>670</v>
      </c>
    </row>
    <row r="16" spans="1:9" x14ac:dyDescent="0.25">
      <c r="A16" s="1">
        <v>1015</v>
      </c>
      <c r="B16" s="2">
        <v>45672</v>
      </c>
      <c r="C16" s="1" t="s">
        <v>17</v>
      </c>
      <c r="D16" s="1" t="s">
        <v>18</v>
      </c>
      <c r="E16" s="1" t="s">
        <v>35</v>
      </c>
      <c r="F16" s="1" t="s">
        <v>24</v>
      </c>
      <c r="G16" s="1">
        <v>2</v>
      </c>
      <c r="H16" s="8">
        <v>1200</v>
      </c>
      <c r="I16" s="11">
        <v>1800</v>
      </c>
    </row>
    <row r="17" spans="1:9" x14ac:dyDescent="0.25">
      <c r="A17" s="3">
        <v>1016</v>
      </c>
      <c r="B17" s="4">
        <v>45673</v>
      </c>
      <c r="C17" s="3" t="s">
        <v>21</v>
      </c>
      <c r="D17" s="3" t="s">
        <v>22</v>
      </c>
      <c r="E17" s="3" t="s">
        <v>36</v>
      </c>
      <c r="F17" s="3" t="s">
        <v>24</v>
      </c>
      <c r="G17" s="3">
        <v>14</v>
      </c>
      <c r="H17" s="9">
        <v>60</v>
      </c>
      <c r="I17" s="12">
        <v>600</v>
      </c>
    </row>
    <row r="18" spans="1:9" ht="15.75" customHeight="1" x14ac:dyDescent="0.25">
      <c r="A18" s="1">
        <v>1017</v>
      </c>
      <c r="B18" s="2">
        <v>45674</v>
      </c>
      <c r="C18" s="1" t="s">
        <v>10</v>
      </c>
      <c r="D18" s="1" t="s">
        <v>11</v>
      </c>
      <c r="E18" s="1" t="s">
        <v>37</v>
      </c>
      <c r="F18" s="1" t="s">
        <v>13</v>
      </c>
      <c r="G18" s="1">
        <v>20</v>
      </c>
      <c r="H18" s="8">
        <v>25</v>
      </c>
      <c r="I18" s="11">
        <v>350</v>
      </c>
    </row>
    <row r="19" spans="1:9" ht="15" customHeight="1" x14ac:dyDescent="0.25">
      <c r="A19" s="3">
        <v>1018</v>
      </c>
      <c r="B19" s="4">
        <v>45675</v>
      </c>
      <c r="C19" s="3" t="s">
        <v>14</v>
      </c>
      <c r="D19" s="3" t="s">
        <v>15</v>
      </c>
      <c r="E19" s="3" t="s">
        <v>38</v>
      </c>
      <c r="F19" s="3" t="s">
        <v>13</v>
      </c>
      <c r="G19" s="3">
        <v>3</v>
      </c>
      <c r="H19" s="9">
        <v>700</v>
      </c>
      <c r="I19" s="12">
        <v>1600</v>
      </c>
    </row>
    <row r="20" spans="1:9" ht="17.25" customHeight="1" x14ac:dyDescent="0.25">
      <c r="A20" s="1">
        <v>1019</v>
      </c>
      <c r="B20" s="2">
        <v>45676</v>
      </c>
      <c r="C20" s="1" t="s">
        <v>17</v>
      </c>
      <c r="D20" s="1" t="s">
        <v>18</v>
      </c>
      <c r="E20" s="1" t="s">
        <v>39</v>
      </c>
      <c r="F20" s="1" t="s">
        <v>20</v>
      </c>
      <c r="G20" s="1">
        <v>25</v>
      </c>
      <c r="H20" s="8">
        <v>10</v>
      </c>
      <c r="I20" s="11">
        <v>180</v>
      </c>
    </row>
    <row r="21" spans="1:9" ht="16.5" customHeight="1" x14ac:dyDescent="0.25">
      <c r="A21" s="3">
        <v>1020</v>
      </c>
      <c r="B21" s="4">
        <v>45677</v>
      </c>
      <c r="C21" s="3" t="s">
        <v>21</v>
      </c>
      <c r="D21" s="3" t="s">
        <v>22</v>
      </c>
      <c r="E21" s="3" t="s">
        <v>40</v>
      </c>
      <c r="F21" s="3" t="s">
        <v>24</v>
      </c>
      <c r="G21" s="3">
        <v>3</v>
      </c>
      <c r="H21" s="9">
        <v>500</v>
      </c>
      <c r="I21" s="12">
        <v>1100</v>
      </c>
    </row>
    <row r="22" spans="1:9" ht="20.25" customHeight="1" x14ac:dyDescent="0.25">
      <c r="A22" s="1">
        <v>1021</v>
      </c>
      <c r="B22" s="2">
        <v>45678</v>
      </c>
      <c r="C22" s="1" t="s">
        <v>10</v>
      </c>
      <c r="D22" s="1" t="s">
        <v>11</v>
      </c>
      <c r="E22" s="1" t="s">
        <v>41</v>
      </c>
      <c r="F22" s="1" t="s">
        <v>13</v>
      </c>
      <c r="G22" s="1">
        <v>4</v>
      </c>
      <c r="H22" s="8">
        <v>900</v>
      </c>
      <c r="I22" s="11">
        <v>2800</v>
      </c>
    </row>
    <row r="23" spans="1:9" ht="15" customHeight="1" x14ac:dyDescent="0.25">
      <c r="A23" s="3">
        <v>1022</v>
      </c>
      <c r="B23" s="4">
        <v>45679</v>
      </c>
      <c r="C23" s="3" t="s">
        <v>14</v>
      </c>
      <c r="D23" s="3" t="s">
        <v>15</v>
      </c>
      <c r="E23" s="3" t="s">
        <v>42</v>
      </c>
      <c r="F23" s="3" t="s">
        <v>13</v>
      </c>
      <c r="G23" s="3">
        <v>10</v>
      </c>
      <c r="H23" s="9">
        <v>120</v>
      </c>
      <c r="I23" s="12">
        <v>900</v>
      </c>
    </row>
    <row r="24" spans="1:9" ht="18.75" customHeight="1" x14ac:dyDescent="0.25">
      <c r="A24" s="1">
        <v>1023</v>
      </c>
      <c r="B24" s="2">
        <v>45680</v>
      </c>
      <c r="C24" s="1" t="s">
        <v>17</v>
      </c>
      <c r="D24" s="1" t="s">
        <v>18</v>
      </c>
      <c r="E24" s="1" t="s">
        <v>43</v>
      </c>
      <c r="F24" s="1" t="s">
        <v>20</v>
      </c>
      <c r="G24" s="1">
        <v>18</v>
      </c>
      <c r="H24" s="8">
        <v>15</v>
      </c>
      <c r="I24" s="11">
        <v>200</v>
      </c>
    </row>
    <row r="25" spans="1:9" ht="18" customHeight="1" x14ac:dyDescent="0.25">
      <c r="A25" s="3">
        <v>1024</v>
      </c>
      <c r="B25" s="4">
        <v>45681</v>
      </c>
      <c r="C25" s="3" t="s">
        <v>21</v>
      </c>
      <c r="D25" s="3" t="s">
        <v>22</v>
      </c>
      <c r="E25" s="3" t="s">
        <v>44</v>
      </c>
      <c r="F25" s="3" t="s">
        <v>20</v>
      </c>
      <c r="G25" s="3">
        <v>6</v>
      </c>
      <c r="H25" s="9">
        <v>140</v>
      </c>
      <c r="I25" s="12">
        <v>600</v>
      </c>
    </row>
    <row r="26" spans="1:9" ht="18" customHeight="1" x14ac:dyDescent="0.25">
      <c r="A26" s="1">
        <v>1025</v>
      </c>
      <c r="B26" s="2">
        <v>45682</v>
      </c>
      <c r="C26" s="1" t="s">
        <v>10</v>
      </c>
      <c r="D26" s="1" t="s">
        <v>11</v>
      </c>
      <c r="E26" s="1" t="s">
        <v>45</v>
      </c>
      <c r="F26" s="1" t="s">
        <v>13</v>
      </c>
      <c r="G26" s="1">
        <v>3</v>
      </c>
      <c r="H26" s="8">
        <v>1000</v>
      </c>
      <c r="I26" s="11">
        <v>2300</v>
      </c>
    </row>
    <row r="27" spans="1:9" ht="13.5" customHeight="1" x14ac:dyDescent="0.25">
      <c r="A27" s="3">
        <v>1026</v>
      </c>
      <c r="B27" s="4">
        <v>45683</v>
      </c>
      <c r="C27" s="3" t="s">
        <v>14</v>
      </c>
      <c r="D27" s="3" t="s">
        <v>15</v>
      </c>
      <c r="E27" s="3" t="s">
        <v>46</v>
      </c>
      <c r="F27" s="3" t="s">
        <v>13</v>
      </c>
      <c r="G27" s="3">
        <v>2</v>
      </c>
      <c r="H27" s="9">
        <v>1500</v>
      </c>
      <c r="I27" s="12">
        <v>2400</v>
      </c>
    </row>
    <row r="28" spans="1:9" x14ac:dyDescent="0.25">
      <c r="A28" s="1">
        <v>1027</v>
      </c>
      <c r="B28" s="2">
        <v>45684</v>
      </c>
      <c r="C28" s="1" t="s">
        <v>17</v>
      </c>
      <c r="D28" s="1" t="s">
        <v>18</v>
      </c>
      <c r="E28" s="1" t="s">
        <v>47</v>
      </c>
      <c r="F28" s="1" t="s">
        <v>24</v>
      </c>
      <c r="G28" s="1">
        <v>5</v>
      </c>
      <c r="H28" s="8">
        <v>350</v>
      </c>
      <c r="I28" s="11">
        <v>1300</v>
      </c>
    </row>
    <row r="29" spans="1:9" x14ac:dyDescent="0.25">
      <c r="A29" s="3">
        <v>1028</v>
      </c>
      <c r="B29" s="4">
        <v>45685</v>
      </c>
      <c r="C29" s="3" t="s">
        <v>21</v>
      </c>
      <c r="D29" s="3" t="s">
        <v>22</v>
      </c>
      <c r="E29" s="3" t="s">
        <v>48</v>
      </c>
      <c r="F29" s="3" t="s">
        <v>24</v>
      </c>
      <c r="G29" s="3">
        <v>12</v>
      </c>
      <c r="H29" s="9">
        <v>90</v>
      </c>
      <c r="I29" s="12">
        <v>800</v>
      </c>
    </row>
    <row r="30" spans="1:9" ht="18.75" customHeight="1" x14ac:dyDescent="0.25">
      <c r="A30" s="1">
        <v>1029</v>
      </c>
      <c r="B30" s="2">
        <v>45686</v>
      </c>
      <c r="C30" s="1" t="s">
        <v>10</v>
      </c>
      <c r="D30" s="1" t="s">
        <v>11</v>
      </c>
      <c r="E30" s="1" t="s">
        <v>49</v>
      </c>
      <c r="F30" s="1" t="s">
        <v>13</v>
      </c>
      <c r="G30" s="1">
        <v>7</v>
      </c>
      <c r="H30" s="8">
        <v>150</v>
      </c>
      <c r="I30" s="11">
        <v>780</v>
      </c>
    </row>
    <row r="31" spans="1:9" ht="17.25" customHeight="1" x14ac:dyDescent="0.25">
      <c r="A31" s="3">
        <v>1030</v>
      </c>
      <c r="B31" s="4">
        <v>45687</v>
      </c>
      <c r="C31" s="3" t="s">
        <v>14</v>
      </c>
      <c r="D31" s="3" t="s">
        <v>15</v>
      </c>
      <c r="E31" s="3" t="s">
        <v>50</v>
      </c>
      <c r="F31" s="3" t="s">
        <v>13</v>
      </c>
      <c r="G31" s="3">
        <v>9</v>
      </c>
      <c r="H31" s="9">
        <v>100</v>
      </c>
      <c r="I31" s="12">
        <v>650</v>
      </c>
    </row>
    <row r="32" spans="1:9" ht="17.25" customHeight="1" x14ac:dyDescent="0.25">
      <c r="A32" s="1">
        <v>1031</v>
      </c>
      <c r="B32" s="2">
        <v>45688</v>
      </c>
      <c r="C32" s="1" t="s">
        <v>17</v>
      </c>
      <c r="D32" s="1" t="s">
        <v>18</v>
      </c>
      <c r="E32" s="1" t="s">
        <v>51</v>
      </c>
      <c r="F32" s="1" t="s">
        <v>20</v>
      </c>
      <c r="G32" s="1">
        <v>30</v>
      </c>
      <c r="H32" s="8">
        <v>5</v>
      </c>
      <c r="I32" s="11">
        <v>100</v>
      </c>
    </row>
    <row r="33" spans="1:9" x14ac:dyDescent="0.25">
      <c r="A33" s="3">
        <v>1032</v>
      </c>
      <c r="B33" s="4">
        <v>45689</v>
      </c>
      <c r="C33" s="3" t="s">
        <v>21</v>
      </c>
      <c r="D33" s="3" t="s">
        <v>22</v>
      </c>
      <c r="E33" s="3" t="s">
        <v>52</v>
      </c>
      <c r="F33" s="3" t="s">
        <v>24</v>
      </c>
      <c r="G33" s="3">
        <v>4</v>
      </c>
      <c r="H33" s="9">
        <v>300</v>
      </c>
      <c r="I33" s="12">
        <v>880</v>
      </c>
    </row>
    <row r="34" spans="1:9" ht="19.5" customHeight="1" x14ac:dyDescent="0.25">
      <c r="A34" s="1">
        <v>1033</v>
      </c>
      <c r="B34" s="2">
        <v>45690</v>
      </c>
      <c r="C34" s="1" t="s">
        <v>10</v>
      </c>
      <c r="D34" s="1" t="s">
        <v>11</v>
      </c>
      <c r="E34" s="1" t="s">
        <v>53</v>
      </c>
      <c r="F34" s="1" t="s">
        <v>13</v>
      </c>
      <c r="G34" s="1">
        <v>6</v>
      </c>
      <c r="H34" s="8">
        <v>700</v>
      </c>
      <c r="I34" s="11">
        <v>3300</v>
      </c>
    </row>
    <row r="35" spans="1:9" ht="16.5" customHeight="1" x14ac:dyDescent="0.25">
      <c r="A35" s="3">
        <v>1034</v>
      </c>
      <c r="B35" s="4">
        <v>45691</v>
      </c>
      <c r="C35" s="3" t="s">
        <v>14</v>
      </c>
      <c r="D35" s="3" t="s">
        <v>15</v>
      </c>
      <c r="E35" s="3" t="s">
        <v>12</v>
      </c>
      <c r="F35" s="3" t="s">
        <v>13</v>
      </c>
      <c r="G35" s="3">
        <v>4</v>
      </c>
      <c r="H35" s="9">
        <v>850</v>
      </c>
      <c r="I35" s="12">
        <v>2600</v>
      </c>
    </row>
    <row r="36" spans="1:9" x14ac:dyDescent="0.25">
      <c r="A36" s="1">
        <v>1035</v>
      </c>
      <c r="B36" s="2">
        <v>45692</v>
      </c>
      <c r="C36" s="1" t="s">
        <v>17</v>
      </c>
      <c r="D36" s="1" t="s">
        <v>18</v>
      </c>
      <c r="E36" s="1" t="s">
        <v>54</v>
      </c>
      <c r="F36" s="1" t="s">
        <v>24</v>
      </c>
      <c r="G36" s="1">
        <v>3</v>
      </c>
      <c r="H36" s="8">
        <v>650</v>
      </c>
      <c r="I36" s="11">
        <v>1450</v>
      </c>
    </row>
    <row r="37" spans="1:9" ht="16.5" customHeight="1" x14ac:dyDescent="0.25">
      <c r="A37" s="3">
        <v>1036</v>
      </c>
      <c r="B37" s="4">
        <v>45693</v>
      </c>
      <c r="C37" s="3" t="s">
        <v>21</v>
      </c>
      <c r="D37" s="3" t="s">
        <v>22</v>
      </c>
      <c r="E37" s="3" t="s">
        <v>27</v>
      </c>
      <c r="F37" s="3" t="s">
        <v>20</v>
      </c>
      <c r="G37" s="3">
        <v>22</v>
      </c>
      <c r="H37" s="9">
        <v>35</v>
      </c>
      <c r="I37" s="12">
        <v>550</v>
      </c>
    </row>
    <row r="38" spans="1:9" ht="20.25" customHeight="1" x14ac:dyDescent="0.25">
      <c r="A38" s="1">
        <v>1037</v>
      </c>
      <c r="B38" s="2">
        <v>45694</v>
      </c>
      <c r="C38" s="1" t="s">
        <v>10</v>
      </c>
      <c r="D38" s="1" t="s">
        <v>11</v>
      </c>
      <c r="E38" s="1" t="s">
        <v>26</v>
      </c>
      <c r="F38" s="1" t="s">
        <v>13</v>
      </c>
      <c r="G38" s="1">
        <v>5</v>
      </c>
      <c r="H38" s="8">
        <v>300</v>
      </c>
      <c r="I38" s="11">
        <v>1150</v>
      </c>
    </row>
    <row r="39" spans="1:9" ht="17.25" customHeight="1" x14ac:dyDescent="0.25">
      <c r="A39" s="3">
        <v>1038</v>
      </c>
      <c r="B39" s="4">
        <v>45695</v>
      </c>
      <c r="C39" s="3" t="s">
        <v>14</v>
      </c>
      <c r="D39" s="3" t="s">
        <v>15</v>
      </c>
      <c r="E39" s="3" t="s">
        <v>25</v>
      </c>
      <c r="F39" s="3" t="s">
        <v>13</v>
      </c>
      <c r="G39" s="3">
        <v>8</v>
      </c>
      <c r="H39" s="9">
        <v>380</v>
      </c>
      <c r="I39" s="12">
        <v>2300</v>
      </c>
    </row>
    <row r="40" spans="1:9" ht="21" customHeight="1" x14ac:dyDescent="0.25">
      <c r="A40" s="1">
        <v>1039</v>
      </c>
      <c r="B40" s="2">
        <v>45696</v>
      </c>
      <c r="C40" s="1" t="s">
        <v>17</v>
      </c>
      <c r="D40" s="1" t="s">
        <v>18</v>
      </c>
      <c r="E40" s="1" t="s">
        <v>19</v>
      </c>
      <c r="F40" s="1" t="s">
        <v>20</v>
      </c>
      <c r="G40" s="1">
        <v>4</v>
      </c>
      <c r="H40" s="8">
        <v>200</v>
      </c>
      <c r="I40" s="11">
        <v>600</v>
      </c>
    </row>
    <row r="41" spans="1:9" x14ac:dyDescent="0.25">
      <c r="A41" s="3">
        <v>1040</v>
      </c>
      <c r="B41" s="4">
        <v>45697</v>
      </c>
      <c r="C41" s="3" t="s">
        <v>21</v>
      </c>
      <c r="D41" s="3" t="s">
        <v>22</v>
      </c>
      <c r="E41" s="3" t="s">
        <v>35</v>
      </c>
      <c r="F41" s="3" t="s">
        <v>24</v>
      </c>
      <c r="G41" s="3">
        <v>2</v>
      </c>
      <c r="H41" s="9">
        <v>1300</v>
      </c>
      <c r="I41" s="12">
        <v>2000</v>
      </c>
    </row>
    <row r="42" spans="1:9" ht="15" customHeight="1" x14ac:dyDescent="0.25">
      <c r="A42" s="1">
        <v>1041</v>
      </c>
      <c r="B42" s="2">
        <v>45698</v>
      </c>
      <c r="C42" s="1" t="s">
        <v>10</v>
      </c>
      <c r="D42" s="1" t="s">
        <v>11</v>
      </c>
      <c r="E42" s="1" t="s">
        <v>37</v>
      </c>
      <c r="F42" s="1" t="s">
        <v>13</v>
      </c>
      <c r="G42" s="1">
        <v>25</v>
      </c>
      <c r="H42" s="8">
        <v>20</v>
      </c>
      <c r="I42" s="11">
        <v>350</v>
      </c>
    </row>
    <row r="43" spans="1:9" ht="12.75" customHeight="1" x14ac:dyDescent="0.25">
      <c r="A43" s="3">
        <v>1042</v>
      </c>
      <c r="B43" s="4">
        <v>45699</v>
      </c>
      <c r="C43" s="3" t="s">
        <v>14</v>
      </c>
      <c r="D43" s="3" t="s">
        <v>15</v>
      </c>
      <c r="E43" s="3" t="s">
        <v>41</v>
      </c>
      <c r="F43" s="3" t="s">
        <v>13</v>
      </c>
      <c r="G43" s="3">
        <v>3</v>
      </c>
      <c r="H43" s="9">
        <v>950</v>
      </c>
      <c r="I43" s="12">
        <v>2200</v>
      </c>
    </row>
    <row r="44" spans="1:9" ht="21" customHeight="1" x14ac:dyDescent="0.25">
      <c r="A44" s="1">
        <v>1043</v>
      </c>
      <c r="B44" s="2">
        <v>45700</v>
      </c>
      <c r="C44" s="1" t="s">
        <v>17</v>
      </c>
      <c r="D44" s="1" t="s">
        <v>18</v>
      </c>
      <c r="E44" s="1" t="s">
        <v>39</v>
      </c>
      <c r="F44" s="1" t="s">
        <v>20</v>
      </c>
      <c r="G44" s="1">
        <v>40</v>
      </c>
      <c r="H44" s="8">
        <v>8</v>
      </c>
      <c r="I44" s="11">
        <v>240</v>
      </c>
    </row>
    <row r="45" spans="1:9" ht="15.75" customHeight="1" x14ac:dyDescent="0.25">
      <c r="A45" s="3">
        <v>1044</v>
      </c>
      <c r="B45" s="4">
        <v>45701</v>
      </c>
      <c r="C45" s="3" t="s">
        <v>21</v>
      </c>
      <c r="D45" s="3" t="s">
        <v>22</v>
      </c>
      <c r="E45" s="3" t="s">
        <v>34</v>
      </c>
      <c r="F45" s="3" t="s">
        <v>24</v>
      </c>
      <c r="G45" s="3">
        <v>3</v>
      </c>
      <c r="H45" s="9">
        <v>550</v>
      </c>
      <c r="I45" s="12">
        <v>1250</v>
      </c>
    </row>
    <row r="46" spans="1:9" ht="18.75" customHeight="1" x14ac:dyDescent="0.25">
      <c r="A46" s="1">
        <v>1045</v>
      </c>
      <c r="B46" s="2">
        <v>45702</v>
      </c>
      <c r="C46" s="1" t="s">
        <v>10</v>
      </c>
      <c r="D46" s="1" t="s">
        <v>11</v>
      </c>
      <c r="E46" s="1" t="s">
        <v>33</v>
      </c>
      <c r="F46" s="1" t="s">
        <v>13</v>
      </c>
      <c r="G46" s="1">
        <v>12</v>
      </c>
      <c r="H46" s="8">
        <v>85</v>
      </c>
      <c r="I46" s="11">
        <v>760</v>
      </c>
    </row>
    <row r="47" spans="1:9" ht="15.75" customHeight="1" x14ac:dyDescent="0.25">
      <c r="A47" s="3">
        <v>1046</v>
      </c>
      <c r="B47" s="4">
        <v>45703</v>
      </c>
      <c r="C47" s="3" t="s">
        <v>14</v>
      </c>
      <c r="D47" s="3" t="s">
        <v>15</v>
      </c>
      <c r="E47" s="3" t="s">
        <v>38</v>
      </c>
      <c r="F47" s="3" t="s">
        <v>13</v>
      </c>
      <c r="G47" s="3">
        <v>2</v>
      </c>
      <c r="H47" s="9">
        <v>750</v>
      </c>
      <c r="I47" s="12">
        <v>1150</v>
      </c>
    </row>
    <row r="48" spans="1:9" ht="17.25" customHeight="1" x14ac:dyDescent="0.25">
      <c r="A48" s="1">
        <v>1047</v>
      </c>
      <c r="B48" s="2">
        <v>45704</v>
      </c>
      <c r="C48" s="1" t="s">
        <v>17</v>
      </c>
      <c r="D48" s="1" t="s">
        <v>18</v>
      </c>
      <c r="E48" s="1" t="s">
        <v>43</v>
      </c>
      <c r="F48" s="1" t="s">
        <v>20</v>
      </c>
      <c r="G48" s="1">
        <v>20</v>
      </c>
      <c r="H48" s="8">
        <v>18</v>
      </c>
      <c r="I48" s="11">
        <v>270</v>
      </c>
    </row>
    <row r="49" spans="1:9" ht="18" customHeight="1" x14ac:dyDescent="0.25">
      <c r="A49" s="3">
        <v>1048</v>
      </c>
      <c r="B49" s="4">
        <v>45705</v>
      </c>
      <c r="C49" s="3" t="s">
        <v>21</v>
      </c>
      <c r="D49" s="3" t="s">
        <v>22</v>
      </c>
      <c r="E49" s="3" t="s">
        <v>23</v>
      </c>
      <c r="F49" s="3" t="s">
        <v>24</v>
      </c>
      <c r="G49" s="3">
        <v>8</v>
      </c>
      <c r="H49" s="9">
        <v>140</v>
      </c>
      <c r="I49" s="12">
        <v>840</v>
      </c>
    </row>
    <row r="50" spans="1:9" ht="19.5" customHeight="1" x14ac:dyDescent="0.25">
      <c r="A50" s="1">
        <v>1049</v>
      </c>
      <c r="B50" s="2">
        <v>45706</v>
      </c>
      <c r="C50" s="1" t="s">
        <v>10</v>
      </c>
      <c r="D50" s="1" t="s">
        <v>11</v>
      </c>
      <c r="E50" s="1" t="s">
        <v>45</v>
      </c>
      <c r="F50" s="1" t="s">
        <v>13</v>
      </c>
      <c r="G50" s="1">
        <v>2</v>
      </c>
      <c r="H50" s="8">
        <v>1100</v>
      </c>
      <c r="I50" s="11">
        <v>1700</v>
      </c>
    </row>
    <row r="51" spans="1:9" ht="18.75" customHeight="1" x14ac:dyDescent="0.25">
      <c r="A51" s="3">
        <v>1050</v>
      </c>
      <c r="B51" s="4">
        <v>45707</v>
      </c>
      <c r="C51" s="3" t="s">
        <v>14</v>
      </c>
      <c r="D51" s="3" t="s">
        <v>15</v>
      </c>
      <c r="E51" s="3" t="s">
        <v>46</v>
      </c>
      <c r="F51" s="3" t="s">
        <v>13</v>
      </c>
      <c r="G51" s="3">
        <v>1</v>
      </c>
      <c r="H51" s="9">
        <v>1800</v>
      </c>
      <c r="I51" s="12">
        <v>1400</v>
      </c>
    </row>
    <row r="52" spans="1:9" x14ac:dyDescent="0.25">
      <c r="A52" s="1">
        <v>1051</v>
      </c>
      <c r="B52" s="2">
        <v>45708</v>
      </c>
      <c r="C52" s="1" t="s">
        <v>17</v>
      </c>
      <c r="D52" s="1" t="s">
        <v>18</v>
      </c>
      <c r="E52" s="1" t="s">
        <v>47</v>
      </c>
      <c r="F52" s="1" t="s">
        <v>24</v>
      </c>
      <c r="G52" s="1">
        <v>4</v>
      </c>
      <c r="H52" s="8">
        <v>400</v>
      </c>
      <c r="I52" s="11">
        <v>1200</v>
      </c>
    </row>
    <row r="53" spans="1:9" x14ac:dyDescent="0.25">
      <c r="A53" s="3">
        <v>1052</v>
      </c>
      <c r="B53" s="4">
        <v>45709</v>
      </c>
      <c r="C53" s="3" t="s">
        <v>21</v>
      </c>
      <c r="D53" s="3" t="s">
        <v>22</v>
      </c>
      <c r="E53" s="3" t="s">
        <v>36</v>
      </c>
      <c r="F53" s="3" t="s">
        <v>24</v>
      </c>
      <c r="G53" s="3">
        <v>18</v>
      </c>
      <c r="H53" s="9">
        <v>55</v>
      </c>
      <c r="I53" s="12">
        <v>730</v>
      </c>
    </row>
    <row r="54" spans="1:9" ht="17.25" customHeight="1" x14ac:dyDescent="0.25">
      <c r="A54" s="1">
        <v>1053</v>
      </c>
      <c r="B54" s="2">
        <v>45710</v>
      </c>
      <c r="C54" s="1" t="s">
        <v>10</v>
      </c>
      <c r="D54" s="1" t="s">
        <v>11</v>
      </c>
      <c r="E54" s="1" t="s">
        <v>49</v>
      </c>
      <c r="F54" s="1" t="s">
        <v>13</v>
      </c>
      <c r="G54" s="1">
        <v>10</v>
      </c>
      <c r="H54" s="8">
        <v>130</v>
      </c>
      <c r="I54" s="11">
        <v>980</v>
      </c>
    </row>
    <row r="55" spans="1:9" ht="18" customHeight="1" x14ac:dyDescent="0.25">
      <c r="A55" s="3">
        <v>1054</v>
      </c>
      <c r="B55" s="4">
        <v>45711</v>
      </c>
      <c r="C55" s="3" t="s">
        <v>14</v>
      </c>
      <c r="D55" s="3" t="s">
        <v>15</v>
      </c>
      <c r="E55" s="3" t="s">
        <v>50</v>
      </c>
      <c r="F55" s="3" t="s">
        <v>13</v>
      </c>
      <c r="G55" s="3">
        <v>12</v>
      </c>
      <c r="H55" s="9">
        <v>95</v>
      </c>
      <c r="I55" s="12">
        <v>850</v>
      </c>
    </row>
    <row r="56" spans="1:9" ht="21" customHeight="1" x14ac:dyDescent="0.25">
      <c r="A56" s="1">
        <v>1055</v>
      </c>
      <c r="B56" s="2">
        <v>45712</v>
      </c>
      <c r="C56" s="1" t="s">
        <v>17</v>
      </c>
      <c r="D56" s="1" t="s">
        <v>18</v>
      </c>
      <c r="E56" s="1" t="s">
        <v>51</v>
      </c>
      <c r="F56" s="1" t="s">
        <v>20</v>
      </c>
      <c r="G56" s="1">
        <v>50</v>
      </c>
      <c r="H56" s="8">
        <v>4</v>
      </c>
      <c r="I56" s="11">
        <v>150</v>
      </c>
    </row>
    <row r="57" spans="1:9" x14ac:dyDescent="0.25">
      <c r="A57" s="3">
        <v>1056</v>
      </c>
      <c r="B57" s="4">
        <v>45713</v>
      </c>
      <c r="C57" s="3" t="s">
        <v>21</v>
      </c>
      <c r="D57" s="3" t="s">
        <v>22</v>
      </c>
      <c r="E57" s="3" t="s">
        <v>52</v>
      </c>
      <c r="F57" s="3" t="s">
        <v>24</v>
      </c>
      <c r="G57" s="3">
        <v>5</v>
      </c>
      <c r="H57" s="9">
        <v>320</v>
      </c>
      <c r="I57" s="12">
        <v>1200</v>
      </c>
    </row>
    <row r="58" spans="1:9" ht="16.5" customHeight="1" x14ac:dyDescent="0.25">
      <c r="A58" s="1">
        <v>1057</v>
      </c>
      <c r="B58" s="2">
        <v>45714</v>
      </c>
      <c r="C58" s="1" t="s">
        <v>10</v>
      </c>
      <c r="D58" s="1" t="s">
        <v>11</v>
      </c>
      <c r="E58" s="1" t="s">
        <v>32</v>
      </c>
      <c r="F58" s="1" t="s">
        <v>13</v>
      </c>
      <c r="G58" s="1">
        <v>7</v>
      </c>
      <c r="H58" s="8">
        <v>210</v>
      </c>
      <c r="I58" s="11">
        <v>1100</v>
      </c>
    </row>
    <row r="59" spans="1:9" ht="19.5" customHeight="1" x14ac:dyDescent="0.25">
      <c r="A59" s="3">
        <v>1058</v>
      </c>
      <c r="B59" s="4">
        <v>45715</v>
      </c>
      <c r="C59" s="3" t="s">
        <v>14</v>
      </c>
      <c r="D59" s="3" t="s">
        <v>15</v>
      </c>
      <c r="E59" s="3" t="s">
        <v>42</v>
      </c>
      <c r="F59" s="3" t="s">
        <v>13</v>
      </c>
      <c r="G59" s="3">
        <v>15</v>
      </c>
      <c r="H59" s="9">
        <v>100</v>
      </c>
      <c r="I59" s="12">
        <v>1100</v>
      </c>
    </row>
    <row r="60" spans="1:9" ht="16.5" customHeight="1" x14ac:dyDescent="0.25">
      <c r="A60" s="1">
        <v>1059</v>
      </c>
      <c r="B60" s="2">
        <v>45716</v>
      </c>
      <c r="C60" s="1" t="s">
        <v>17</v>
      </c>
      <c r="D60" s="1" t="s">
        <v>18</v>
      </c>
      <c r="E60" s="1" t="s">
        <v>44</v>
      </c>
      <c r="F60" s="1" t="s">
        <v>20</v>
      </c>
      <c r="G60" s="1">
        <v>5</v>
      </c>
      <c r="H60" s="8">
        <v>160</v>
      </c>
      <c r="I60" s="11">
        <v>600</v>
      </c>
    </row>
    <row r="61" spans="1:9" ht="21" customHeight="1" x14ac:dyDescent="0.25">
      <c r="A61" s="3">
        <v>1060</v>
      </c>
      <c r="B61" s="4">
        <v>45717</v>
      </c>
      <c r="C61" s="3" t="s">
        <v>21</v>
      </c>
      <c r="D61" s="3" t="s">
        <v>22</v>
      </c>
      <c r="E61" s="3" t="s">
        <v>30</v>
      </c>
      <c r="F61" s="3" t="s">
        <v>24</v>
      </c>
      <c r="G61" s="3">
        <v>6</v>
      </c>
      <c r="H61" s="9">
        <v>230</v>
      </c>
      <c r="I61" s="12">
        <v>1030</v>
      </c>
    </row>
    <row r="62" spans="1:9" ht="18.75" customHeight="1" x14ac:dyDescent="0.25">
      <c r="A62" s="1">
        <v>1061</v>
      </c>
      <c r="B62" s="2">
        <v>45718</v>
      </c>
      <c r="C62" s="1" t="s">
        <v>10</v>
      </c>
      <c r="D62" s="1" t="s">
        <v>11</v>
      </c>
      <c r="E62" s="1" t="s">
        <v>12</v>
      </c>
      <c r="F62" s="1" t="s">
        <v>13</v>
      </c>
      <c r="G62" s="1">
        <v>3</v>
      </c>
      <c r="H62" s="8">
        <v>900</v>
      </c>
      <c r="I62" s="11">
        <v>2100</v>
      </c>
    </row>
    <row r="63" spans="1:9" ht="16.5" customHeight="1" x14ac:dyDescent="0.25">
      <c r="A63" s="3">
        <v>1062</v>
      </c>
      <c r="B63" s="4">
        <v>45719</v>
      </c>
      <c r="C63" s="3" t="s">
        <v>14</v>
      </c>
      <c r="D63" s="3" t="s">
        <v>15</v>
      </c>
      <c r="E63" s="3" t="s">
        <v>16</v>
      </c>
      <c r="F63" s="3" t="s">
        <v>13</v>
      </c>
      <c r="G63" s="3">
        <v>9</v>
      </c>
      <c r="H63" s="9">
        <v>550</v>
      </c>
      <c r="I63" s="12">
        <v>3900</v>
      </c>
    </row>
    <row r="64" spans="1:9" ht="19.5" customHeight="1" x14ac:dyDescent="0.25">
      <c r="A64" s="1">
        <v>1063</v>
      </c>
      <c r="B64" s="2">
        <v>45720</v>
      </c>
      <c r="C64" s="1" t="s">
        <v>17</v>
      </c>
      <c r="D64" s="1" t="s">
        <v>18</v>
      </c>
      <c r="E64" s="1" t="s">
        <v>19</v>
      </c>
      <c r="F64" s="1" t="s">
        <v>20</v>
      </c>
      <c r="G64" s="1">
        <v>5</v>
      </c>
      <c r="H64" s="8">
        <v>180</v>
      </c>
      <c r="I64" s="11">
        <v>670</v>
      </c>
    </row>
    <row r="65" spans="1:9" x14ac:dyDescent="0.25">
      <c r="A65" s="3">
        <v>1064</v>
      </c>
      <c r="B65" s="4">
        <v>45721</v>
      </c>
      <c r="C65" s="3" t="s">
        <v>21</v>
      </c>
      <c r="D65" s="3" t="s">
        <v>22</v>
      </c>
      <c r="E65" s="3" t="s">
        <v>54</v>
      </c>
      <c r="F65" s="3" t="s">
        <v>24</v>
      </c>
      <c r="G65" s="3">
        <v>2</v>
      </c>
      <c r="H65" s="9">
        <v>700</v>
      </c>
      <c r="I65" s="12">
        <v>1050</v>
      </c>
    </row>
    <row r="66" spans="1:9" ht="14.25" customHeight="1" x14ac:dyDescent="0.25">
      <c r="A66" s="1">
        <v>1065</v>
      </c>
      <c r="B66" s="2">
        <v>45722</v>
      </c>
      <c r="C66" s="1" t="s">
        <v>10</v>
      </c>
      <c r="D66" s="1" t="s">
        <v>11</v>
      </c>
      <c r="E66" s="1" t="s">
        <v>26</v>
      </c>
      <c r="F66" s="1" t="s">
        <v>13</v>
      </c>
      <c r="G66" s="1">
        <v>6</v>
      </c>
      <c r="H66" s="8">
        <v>280</v>
      </c>
      <c r="I66" s="11">
        <v>1300</v>
      </c>
    </row>
    <row r="67" spans="1:9" ht="18.75" customHeight="1" x14ac:dyDescent="0.25">
      <c r="A67" s="3">
        <v>1066</v>
      </c>
      <c r="B67" s="4">
        <v>45723</v>
      </c>
      <c r="C67" s="3" t="s">
        <v>14</v>
      </c>
      <c r="D67" s="3" t="s">
        <v>15</v>
      </c>
      <c r="E67" s="3" t="s">
        <v>25</v>
      </c>
      <c r="F67" s="3" t="s">
        <v>13</v>
      </c>
      <c r="G67" s="3">
        <v>10</v>
      </c>
      <c r="H67" s="9">
        <v>420</v>
      </c>
      <c r="I67" s="12">
        <v>3200</v>
      </c>
    </row>
    <row r="68" spans="1:9" ht="18" customHeight="1" x14ac:dyDescent="0.25">
      <c r="A68" s="1">
        <v>1067</v>
      </c>
      <c r="B68" s="2">
        <v>45724</v>
      </c>
      <c r="C68" s="1" t="s">
        <v>17</v>
      </c>
      <c r="D68" s="1" t="s">
        <v>18</v>
      </c>
      <c r="E68" s="1" t="s">
        <v>39</v>
      </c>
      <c r="F68" s="1" t="s">
        <v>20</v>
      </c>
      <c r="G68" s="1">
        <v>35</v>
      </c>
      <c r="H68" s="8">
        <v>9</v>
      </c>
      <c r="I68" s="11">
        <v>230</v>
      </c>
    </row>
    <row r="69" spans="1:9" x14ac:dyDescent="0.25">
      <c r="A69" s="3">
        <v>1068</v>
      </c>
      <c r="B69" s="4">
        <v>45725</v>
      </c>
      <c r="C69" s="3" t="s">
        <v>21</v>
      </c>
      <c r="D69" s="3" t="s">
        <v>22</v>
      </c>
      <c r="E69" s="3" t="s">
        <v>35</v>
      </c>
      <c r="F69" s="3" t="s">
        <v>24</v>
      </c>
      <c r="G69" s="3">
        <v>1</v>
      </c>
      <c r="H69" s="9">
        <v>1500</v>
      </c>
      <c r="I69" s="12">
        <v>1150</v>
      </c>
    </row>
    <row r="70" spans="1:9" ht="14.25" customHeight="1" x14ac:dyDescent="0.25">
      <c r="A70" s="1">
        <v>1069</v>
      </c>
      <c r="B70" s="2">
        <v>45726</v>
      </c>
      <c r="C70" s="1" t="s">
        <v>10</v>
      </c>
      <c r="D70" s="1" t="s">
        <v>11</v>
      </c>
      <c r="E70" s="1" t="s">
        <v>33</v>
      </c>
      <c r="F70" s="1" t="s">
        <v>13</v>
      </c>
      <c r="G70" s="1">
        <v>15</v>
      </c>
      <c r="H70" s="8">
        <v>95</v>
      </c>
      <c r="I70" s="11">
        <v>1050</v>
      </c>
    </row>
    <row r="71" spans="1:9" ht="15" customHeight="1" x14ac:dyDescent="0.25">
      <c r="A71" s="3">
        <v>1070</v>
      </c>
      <c r="B71" s="4">
        <v>45727</v>
      </c>
      <c r="C71" s="3" t="s">
        <v>14</v>
      </c>
      <c r="D71" s="3" t="s">
        <v>15</v>
      </c>
      <c r="E71" s="3" t="s">
        <v>41</v>
      </c>
      <c r="F71" s="3" t="s">
        <v>13</v>
      </c>
      <c r="G71" s="3">
        <v>2</v>
      </c>
      <c r="H71" s="9">
        <v>1000</v>
      </c>
      <c r="I71" s="12">
        <v>1550</v>
      </c>
    </row>
    <row r="72" spans="1:9" ht="16.5" customHeight="1" x14ac:dyDescent="0.25">
      <c r="A72" s="1">
        <v>1071</v>
      </c>
      <c r="B72" s="2">
        <v>45728</v>
      </c>
      <c r="C72" s="1" t="s">
        <v>17</v>
      </c>
      <c r="D72" s="1" t="s">
        <v>18</v>
      </c>
      <c r="E72" s="1" t="s">
        <v>43</v>
      </c>
      <c r="F72" s="1" t="s">
        <v>20</v>
      </c>
      <c r="G72" s="1">
        <v>25</v>
      </c>
      <c r="H72" s="8">
        <v>12</v>
      </c>
      <c r="I72" s="11">
        <v>220</v>
      </c>
    </row>
    <row r="73" spans="1:9" ht="14.25" customHeight="1" x14ac:dyDescent="0.25">
      <c r="A73" s="3">
        <v>1072</v>
      </c>
      <c r="B73" s="4">
        <v>45729</v>
      </c>
      <c r="C73" s="3" t="s">
        <v>21</v>
      </c>
      <c r="D73" s="3" t="s">
        <v>22</v>
      </c>
      <c r="E73" s="3" t="s">
        <v>34</v>
      </c>
      <c r="F73" s="3" t="s">
        <v>24</v>
      </c>
      <c r="G73" s="3">
        <v>4</v>
      </c>
      <c r="H73" s="9">
        <v>600</v>
      </c>
      <c r="I73" s="12">
        <v>1800</v>
      </c>
    </row>
    <row r="74" spans="1:9" ht="23.25" customHeight="1" x14ac:dyDescent="0.25">
      <c r="A74" s="1">
        <v>1073</v>
      </c>
      <c r="B74" s="2">
        <v>45730</v>
      </c>
      <c r="C74" s="1" t="s">
        <v>10</v>
      </c>
      <c r="D74" s="1" t="s">
        <v>11</v>
      </c>
      <c r="E74" s="1" t="s">
        <v>45</v>
      </c>
      <c r="F74" s="1" t="s">
        <v>13</v>
      </c>
      <c r="G74" s="1">
        <v>1</v>
      </c>
      <c r="H74" s="8">
        <v>1200</v>
      </c>
      <c r="I74" s="11">
        <v>900</v>
      </c>
    </row>
    <row r="75" spans="1:9" ht="15" customHeight="1" x14ac:dyDescent="0.25">
      <c r="A75" s="3">
        <v>1074</v>
      </c>
      <c r="B75" s="4">
        <v>45731</v>
      </c>
      <c r="C75" s="3" t="s">
        <v>14</v>
      </c>
      <c r="D75" s="3" t="s">
        <v>15</v>
      </c>
      <c r="E75" s="3" t="s">
        <v>46</v>
      </c>
      <c r="F75" s="3" t="s">
        <v>13</v>
      </c>
      <c r="G75" s="3">
        <v>2</v>
      </c>
      <c r="H75" s="9">
        <v>1700</v>
      </c>
      <c r="I75" s="12">
        <v>2600</v>
      </c>
    </row>
    <row r="76" spans="1:9" x14ac:dyDescent="0.25">
      <c r="A76" s="1">
        <v>1075</v>
      </c>
      <c r="B76" s="2">
        <v>45732</v>
      </c>
      <c r="C76" s="1" t="s">
        <v>17</v>
      </c>
      <c r="D76" s="1" t="s">
        <v>18</v>
      </c>
      <c r="E76" s="1" t="s">
        <v>47</v>
      </c>
      <c r="F76" s="1" t="s">
        <v>24</v>
      </c>
      <c r="G76" s="1">
        <v>3</v>
      </c>
      <c r="H76" s="8">
        <v>450</v>
      </c>
      <c r="I76" s="11">
        <v>1000</v>
      </c>
    </row>
    <row r="77" spans="1:9" x14ac:dyDescent="0.25">
      <c r="A77" s="3">
        <v>1076</v>
      </c>
      <c r="B77" s="4">
        <v>45733</v>
      </c>
      <c r="C77" s="3" t="s">
        <v>21</v>
      </c>
      <c r="D77" s="3" t="s">
        <v>22</v>
      </c>
      <c r="E77" s="3" t="s">
        <v>36</v>
      </c>
      <c r="F77" s="3" t="s">
        <v>24</v>
      </c>
      <c r="G77" s="3">
        <v>20</v>
      </c>
      <c r="H77" s="9">
        <v>50</v>
      </c>
      <c r="I77" s="12">
        <v>750</v>
      </c>
    </row>
    <row r="78" spans="1:9" ht="17.25" customHeight="1" x14ac:dyDescent="0.25">
      <c r="A78" s="1">
        <v>1077</v>
      </c>
      <c r="B78" s="2">
        <v>45734</v>
      </c>
      <c r="C78" s="1" t="s">
        <v>10</v>
      </c>
      <c r="D78" s="1" t="s">
        <v>11</v>
      </c>
      <c r="E78" s="1" t="s">
        <v>37</v>
      </c>
      <c r="F78" s="1" t="s">
        <v>13</v>
      </c>
      <c r="G78" s="1">
        <v>30</v>
      </c>
      <c r="H78" s="8">
        <v>22</v>
      </c>
      <c r="I78" s="11">
        <v>480</v>
      </c>
    </row>
    <row r="79" spans="1:9" ht="16.5" customHeight="1" x14ac:dyDescent="0.25">
      <c r="A79" s="3">
        <v>1078</v>
      </c>
      <c r="B79" s="4">
        <v>45735</v>
      </c>
      <c r="C79" s="3" t="s">
        <v>14</v>
      </c>
      <c r="D79" s="3" t="s">
        <v>15</v>
      </c>
      <c r="E79" s="3" t="s">
        <v>49</v>
      </c>
      <c r="F79" s="3" t="s">
        <v>13</v>
      </c>
      <c r="G79" s="3">
        <v>8</v>
      </c>
      <c r="H79" s="9">
        <v>160</v>
      </c>
      <c r="I79" s="12">
        <v>950</v>
      </c>
    </row>
    <row r="80" spans="1:9" ht="18.75" customHeight="1" x14ac:dyDescent="0.25">
      <c r="A80" s="1">
        <v>1079</v>
      </c>
      <c r="B80" s="2">
        <v>45736</v>
      </c>
      <c r="C80" s="1" t="s">
        <v>17</v>
      </c>
      <c r="D80" s="1" t="s">
        <v>18</v>
      </c>
      <c r="E80" s="1" t="s">
        <v>44</v>
      </c>
      <c r="F80" s="1" t="s">
        <v>20</v>
      </c>
      <c r="G80" s="1">
        <v>6</v>
      </c>
      <c r="H80" s="8">
        <v>150</v>
      </c>
      <c r="I80" s="11">
        <v>680</v>
      </c>
    </row>
    <row r="81" spans="1:9" ht="15" customHeight="1" x14ac:dyDescent="0.25">
      <c r="A81" s="3">
        <v>1080</v>
      </c>
      <c r="B81" s="4">
        <v>45737</v>
      </c>
      <c r="C81" s="3" t="s">
        <v>21</v>
      </c>
      <c r="D81" s="3" t="s">
        <v>22</v>
      </c>
      <c r="E81" s="3" t="s">
        <v>30</v>
      </c>
      <c r="F81" s="3" t="s">
        <v>24</v>
      </c>
      <c r="G81" s="3">
        <v>5</v>
      </c>
      <c r="H81" s="9">
        <v>250</v>
      </c>
      <c r="I81" s="12">
        <v>950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5087B-F686-47B0-8C8E-16A623E4ED51}">
  <dimension ref="A1:F21"/>
  <sheetViews>
    <sheetView workbookViewId="0">
      <selection activeCell="M10" sqref="M10"/>
    </sheetView>
  </sheetViews>
  <sheetFormatPr defaultRowHeight="15" x14ac:dyDescent="0.25"/>
  <cols>
    <col min="1" max="1" width="9.5703125" bestFit="1" customWidth="1"/>
    <col min="2" max="2" width="15.85546875" bestFit="1" customWidth="1"/>
    <col min="3" max="3" width="12.7109375" bestFit="1" customWidth="1"/>
    <col min="4" max="4" width="11.28515625" bestFit="1" customWidth="1"/>
    <col min="5" max="5" width="15.85546875" bestFit="1" customWidth="1"/>
    <col min="6" max="6" width="12.7109375" bestFit="1" customWidth="1"/>
    <col min="7" max="7" width="14.28515625" bestFit="1" customWidth="1"/>
    <col min="8" max="8" width="16" customWidth="1"/>
    <col min="9" max="9" width="12.42578125" customWidth="1"/>
    <col min="10" max="10" width="13.42578125" bestFit="1" customWidth="1"/>
    <col min="11" max="11" width="15.85546875" bestFit="1" customWidth="1"/>
    <col min="12" max="12" width="12.7109375" bestFit="1" customWidth="1"/>
  </cols>
  <sheetData>
    <row r="1" spans="1:6" x14ac:dyDescent="0.25">
      <c r="A1" s="25" t="s">
        <v>2</v>
      </c>
      <c r="B1" s="24" t="s">
        <v>72</v>
      </c>
      <c r="D1" s="25" t="s">
        <v>4</v>
      </c>
      <c r="E1" t="s">
        <v>72</v>
      </c>
    </row>
    <row r="2" spans="1:6" x14ac:dyDescent="0.25">
      <c r="A2" s="26" t="s">
        <v>17</v>
      </c>
      <c r="B2">
        <v>17615</v>
      </c>
      <c r="D2" s="26" t="s">
        <v>46</v>
      </c>
      <c r="E2">
        <v>8200</v>
      </c>
    </row>
    <row r="3" spans="1:6" x14ac:dyDescent="0.25">
      <c r="A3" s="26" t="s">
        <v>21</v>
      </c>
      <c r="B3">
        <v>27440</v>
      </c>
      <c r="D3" s="26" t="s">
        <v>41</v>
      </c>
      <c r="E3">
        <v>8450</v>
      </c>
    </row>
    <row r="4" spans="1:6" x14ac:dyDescent="0.25">
      <c r="A4" s="26" t="s">
        <v>10</v>
      </c>
      <c r="B4">
        <v>36665</v>
      </c>
      <c r="D4" s="26" t="s">
        <v>12</v>
      </c>
      <c r="E4">
        <v>10100</v>
      </c>
    </row>
    <row r="5" spans="1:6" x14ac:dyDescent="0.25">
      <c r="A5" s="26" t="s">
        <v>14</v>
      </c>
      <c r="B5">
        <v>46210</v>
      </c>
      <c r="D5" s="26" t="s">
        <v>16</v>
      </c>
      <c r="E5">
        <v>8950</v>
      </c>
    </row>
    <row r="6" spans="1:6" x14ac:dyDescent="0.25">
      <c r="D6" s="26" t="s">
        <v>25</v>
      </c>
      <c r="E6">
        <v>10040</v>
      </c>
    </row>
    <row r="7" spans="1:6" x14ac:dyDescent="0.25">
      <c r="D7" s="26" t="s">
        <v>71</v>
      </c>
      <c r="E7">
        <v>45740</v>
      </c>
    </row>
    <row r="9" spans="1:6" x14ac:dyDescent="0.25">
      <c r="A9" s="25" t="s">
        <v>78</v>
      </c>
      <c r="B9" t="s">
        <v>72</v>
      </c>
      <c r="D9" s="28" t="s">
        <v>5</v>
      </c>
      <c r="E9" s="24" t="s">
        <v>79</v>
      </c>
    </row>
    <row r="10" spans="1:6" x14ac:dyDescent="0.25">
      <c r="A10" s="26" t="s">
        <v>77</v>
      </c>
      <c r="B10">
        <v>127930</v>
      </c>
      <c r="D10" s="26" t="s">
        <v>13</v>
      </c>
      <c r="E10">
        <v>313</v>
      </c>
    </row>
    <row r="11" spans="1:6" x14ac:dyDescent="0.25">
      <c r="A11" s="27" t="s">
        <v>73</v>
      </c>
      <c r="B11">
        <v>48360</v>
      </c>
      <c r="D11" s="26" t="s">
        <v>24</v>
      </c>
      <c r="E11">
        <v>141</v>
      </c>
    </row>
    <row r="12" spans="1:6" x14ac:dyDescent="0.25">
      <c r="A12" s="27" t="s">
        <v>74</v>
      </c>
      <c r="B12">
        <v>43380</v>
      </c>
      <c r="D12" s="26" t="s">
        <v>20</v>
      </c>
      <c r="E12">
        <v>322</v>
      </c>
    </row>
    <row r="13" spans="1:6" x14ac:dyDescent="0.25">
      <c r="A13" s="27" t="s">
        <v>75</v>
      </c>
      <c r="B13">
        <v>36190</v>
      </c>
      <c r="D13" s="26" t="s">
        <v>71</v>
      </c>
      <c r="E13">
        <v>776</v>
      </c>
    </row>
    <row r="14" spans="1:6" x14ac:dyDescent="0.25">
      <c r="A14" s="26" t="s">
        <v>71</v>
      </c>
      <c r="B14">
        <v>127930</v>
      </c>
    </row>
    <row r="16" spans="1:6" x14ac:dyDescent="0.25">
      <c r="A16" s="25" t="s">
        <v>5</v>
      </c>
      <c r="B16" t="s">
        <v>76</v>
      </c>
      <c r="D16" s="25" t="s">
        <v>3</v>
      </c>
      <c r="E16" t="s">
        <v>72</v>
      </c>
      <c r="F16" t="s">
        <v>76</v>
      </c>
    </row>
    <row r="17" spans="1:6" x14ac:dyDescent="0.25">
      <c r="A17" s="26" t="s">
        <v>13</v>
      </c>
      <c r="B17">
        <v>19545</v>
      </c>
      <c r="D17" s="26" t="s">
        <v>18</v>
      </c>
      <c r="E17">
        <v>17615</v>
      </c>
      <c r="F17">
        <v>4555</v>
      </c>
    </row>
    <row r="18" spans="1:6" x14ac:dyDescent="0.25">
      <c r="A18" s="26" t="s">
        <v>24</v>
      </c>
      <c r="B18">
        <v>8730</v>
      </c>
      <c r="D18" s="26" t="s">
        <v>22</v>
      </c>
      <c r="E18">
        <v>27440</v>
      </c>
      <c r="F18">
        <v>7060</v>
      </c>
    </row>
    <row r="19" spans="1:6" x14ac:dyDescent="0.25">
      <c r="A19" s="26" t="s">
        <v>20</v>
      </c>
      <c r="B19">
        <v>2945</v>
      </c>
      <c r="D19" s="26" t="s">
        <v>11</v>
      </c>
      <c r="E19">
        <v>36665</v>
      </c>
      <c r="F19">
        <v>8815</v>
      </c>
    </row>
    <row r="20" spans="1:6" x14ac:dyDescent="0.25">
      <c r="A20" s="26" t="s">
        <v>71</v>
      </c>
      <c r="B20">
        <v>31220</v>
      </c>
      <c r="D20" s="26" t="s">
        <v>15</v>
      </c>
      <c r="E20">
        <v>46210</v>
      </c>
      <c r="F20">
        <v>10790</v>
      </c>
    </row>
    <row r="21" spans="1:6" x14ac:dyDescent="0.25">
      <c r="D21" s="26" t="s">
        <v>71</v>
      </c>
      <c r="E21">
        <v>127930</v>
      </c>
      <c r="F21">
        <v>31220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F2863-04C4-41E4-A4FD-6DA20378E38D}">
  <dimension ref="A1:L81"/>
  <sheetViews>
    <sheetView workbookViewId="0">
      <selection activeCell="N9" sqref="N9"/>
    </sheetView>
  </sheetViews>
  <sheetFormatPr defaultRowHeight="15" x14ac:dyDescent="0.25"/>
  <cols>
    <col min="2" max="2" width="11.140625" customWidth="1"/>
    <col min="4" max="4" width="13.7109375" customWidth="1"/>
    <col min="5" max="5" width="14.85546875" customWidth="1"/>
    <col min="6" max="6" width="19.140625" customWidth="1"/>
    <col min="8" max="9" width="11.85546875" customWidth="1"/>
    <col min="10" max="10" width="12.85546875" customWidth="1"/>
    <col min="11" max="11" width="11.140625" customWidth="1"/>
    <col min="12" max="12" width="18.28515625" customWidth="1"/>
  </cols>
  <sheetData>
    <row r="1" spans="1:12" ht="15.75" customHeight="1" thickBot="1" x14ac:dyDescent="0.3">
      <c r="A1" s="5" t="s">
        <v>0</v>
      </c>
      <c r="B1" s="5" t="s">
        <v>1</v>
      </c>
      <c r="C1" s="5" t="s">
        <v>2</v>
      </c>
      <c r="D1" s="5" t="s">
        <v>3</v>
      </c>
      <c r="E1" s="5" t="s">
        <v>4</v>
      </c>
      <c r="F1" s="5" t="s">
        <v>5</v>
      </c>
      <c r="G1" s="5" t="s">
        <v>6</v>
      </c>
      <c r="H1" s="5" t="s">
        <v>7</v>
      </c>
      <c r="I1" s="47" t="s">
        <v>9</v>
      </c>
      <c r="J1" s="50" t="s">
        <v>8</v>
      </c>
      <c r="K1" s="50" t="s">
        <v>55</v>
      </c>
      <c r="L1" s="6" t="s">
        <v>67</v>
      </c>
    </row>
    <row r="2" spans="1:12" ht="15.75" thickTop="1" x14ac:dyDescent="0.25">
      <c r="A2" s="1">
        <v>1001</v>
      </c>
      <c r="B2" s="2">
        <v>45658</v>
      </c>
      <c r="C2" s="1" t="s">
        <v>10</v>
      </c>
      <c r="D2" s="1" t="s">
        <v>11</v>
      </c>
      <c r="E2" s="1" t="s">
        <v>12</v>
      </c>
      <c r="F2" s="1" t="s">
        <v>13</v>
      </c>
      <c r="G2" s="1">
        <v>5</v>
      </c>
      <c r="H2" s="1">
        <v>800</v>
      </c>
      <c r="I2" s="48">
        <v>3000</v>
      </c>
      <c r="J2" s="51">
        <f>G2*H2</f>
        <v>4000</v>
      </c>
      <c r="K2" s="52">
        <f>J2-I2</f>
        <v>1000</v>
      </c>
      <c r="L2" s="53" t="str">
        <f>TEXT(B2,"mmm")</f>
        <v>Jan</v>
      </c>
    </row>
    <row r="3" spans="1:12" x14ac:dyDescent="0.25">
      <c r="A3" s="3">
        <v>1002</v>
      </c>
      <c r="B3" s="4">
        <v>45659</v>
      </c>
      <c r="C3" s="3" t="s">
        <v>14</v>
      </c>
      <c r="D3" s="3" t="s">
        <v>15</v>
      </c>
      <c r="E3" s="3" t="s">
        <v>16</v>
      </c>
      <c r="F3" s="3" t="s">
        <v>13</v>
      </c>
      <c r="G3" s="3">
        <v>8</v>
      </c>
      <c r="H3" s="3">
        <v>500</v>
      </c>
      <c r="I3" s="49">
        <v>3100</v>
      </c>
      <c r="J3" s="54">
        <f t="shared" ref="J3:J66" si="0">G3*H3</f>
        <v>4000</v>
      </c>
      <c r="K3" s="55">
        <f t="shared" ref="K3:K66" si="1">J3-I3</f>
        <v>900</v>
      </c>
      <c r="L3" s="56" t="str">
        <f t="shared" ref="L3:L66" si="2">TEXT(B3,"mmm")</f>
        <v>Jan</v>
      </c>
    </row>
    <row r="4" spans="1:12" ht="13.5" customHeight="1" x14ac:dyDescent="0.25">
      <c r="A4" s="1">
        <v>1003</v>
      </c>
      <c r="B4" s="2">
        <v>45660</v>
      </c>
      <c r="C4" s="1" t="s">
        <v>17</v>
      </c>
      <c r="D4" s="1" t="s">
        <v>18</v>
      </c>
      <c r="E4" s="1" t="s">
        <v>19</v>
      </c>
      <c r="F4" s="1" t="s">
        <v>20</v>
      </c>
      <c r="G4" s="1">
        <v>6</v>
      </c>
      <c r="H4" s="1">
        <v>150</v>
      </c>
      <c r="I4" s="48">
        <v>650</v>
      </c>
      <c r="J4" s="57">
        <f t="shared" si="0"/>
        <v>900</v>
      </c>
      <c r="K4" s="58">
        <f t="shared" si="1"/>
        <v>250</v>
      </c>
      <c r="L4" s="59" t="str">
        <f t="shared" si="2"/>
        <v>Jan</v>
      </c>
    </row>
    <row r="5" spans="1:12" ht="16.5" customHeight="1" x14ac:dyDescent="0.25">
      <c r="A5" s="3">
        <v>1004</v>
      </c>
      <c r="B5" s="4">
        <v>45661</v>
      </c>
      <c r="C5" s="3" t="s">
        <v>21</v>
      </c>
      <c r="D5" s="3" t="s">
        <v>22</v>
      </c>
      <c r="E5" s="3" t="s">
        <v>23</v>
      </c>
      <c r="F5" s="3" t="s">
        <v>24</v>
      </c>
      <c r="G5" s="3">
        <v>10</v>
      </c>
      <c r="H5" s="3">
        <v>120</v>
      </c>
      <c r="I5" s="49">
        <v>850</v>
      </c>
      <c r="J5" s="54">
        <f t="shared" si="0"/>
        <v>1200</v>
      </c>
      <c r="K5" s="55">
        <f t="shared" si="1"/>
        <v>350</v>
      </c>
      <c r="L5" s="56" t="str">
        <f t="shared" si="2"/>
        <v>Jan</v>
      </c>
    </row>
    <row r="6" spans="1:12" x14ac:dyDescent="0.25">
      <c r="A6" s="1">
        <v>1005</v>
      </c>
      <c r="B6" s="2">
        <v>45662</v>
      </c>
      <c r="C6" s="1" t="s">
        <v>10</v>
      </c>
      <c r="D6" s="1" t="s">
        <v>11</v>
      </c>
      <c r="E6" s="1" t="s">
        <v>25</v>
      </c>
      <c r="F6" s="1" t="s">
        <v>13</v>
      </c>
      <c r="G6" s="1">
        <v>7</v>
      </c>
      <c r="H6" s="1">
        <v>400</v>
      </c>
      <c r="I6" s="48">
        <v>2100</v>
      </c>
      <c r="J6" s="57">
        <f t="shared" si="0"/>
        <v>2800</v>
      </c>
      <c r="K6" s="58">
        <f t="shared" si="1"/>
        <v>700</v>
      </c>
      <c r="L6" s="59" t="str">
        <f t="shared" si="2"/>
        <v>Jan</v>
      </c>
    </row>
    <row r="7" spans="1:12" x14ac:dyDescent="0.25">
      <c r="A7" s="3">
        <v>1006</v>
      </c>
      <c r="B7" s="4">
        <v>45663</v>
      </c>
      <c r="C7" s="3" t="s">
        <v>14</v>
      </c>
      <c r="D7" s="3" t="s">
        <v>15</v>
      </c>
      <c r="E7" s="3" t="s">
        <v>26</v>
      </c>
      <c r="F7" s="3" t="s">
        <v>13</v>
      </c>
      <c r="G7" s="3">
        <v>9</v>
      </c>
      <c r="H7" s="3">
        <v>250</v>
      </c>
      <c r="I7" s="49">
        <v>1700</v>
      </c>
      <c r="J7" s="54">
        <f t="shared" si="0"/>
        <v>2250</v>
      </c>
      <c r="K7" s="55">
        <f t="shared" si="1"/>
        <v>550</v>
      </c>
      <c r="L7" s="56" t="str">
        <f t="shared" si="2"/>
        <v>Jan</v>
      </c>
    </row>
    <row r="8" spans="1:12" ht="17.25" customHeight="1" x14ac:dyDescent="0.25">
      <c r="A8" s="1">
        <v>1007</v>
      </c>
      <c r="B8" s="2">
        <v>45664</v>
      </c>
      <c r="C8" s="1" t="s">
        <v>17</v>
      </c>
      <c r="D8" s="1" t="s">
        <v>18</v>
      </c>
      <c r="E8" s="1" t="s">
        <v>27</v>
      </c>
      <c r="F8" s="1" t="s">
        <v>20</v>
      </c>
      <c r="G8" s="1">
        <v>15</v>
      </c>
      <c r="H8" s="1">
        <v>40</v>
      </c>
      <c r="I8" s="48">
        <v>420</v>
      </c>
      <c r="J8" s="57">
        <f t="shared" si="0"/>
        <v>600</v>
      </c>
      <c r="K8" s="58">
        <f t="shared" si="1"/>
        <v>180</v>
      </c>
      <c r="L8" s="59" t="str">
        <f t="shared" si="2"/>
        <v>Jan</v>
      </c>
    </row>
    <row r="9" spans="1:12" ht="15" customHeight="1" x14ac:dyDescent="0.25">
      <c r="A9" s="3">
        <v>1008</v>
      </c>
      <c r="B9" s="4">
        <v>45665</v>
      </c>
      <c r="C9" s="3" t="s">
        <v>21</v>
      </c>
      <c r="D9" s="3" t="s">
        <v>22</v>
      </c>
      <c r="E9" s="3" t="s">
        <v>28</v>
      </c>
      <c r="F9" s="3" t="s">
        <v>24</v>
      </c>
      <c r="G9" s="3">
        <v>3</v>
      </c>
      <c r="H9" s="3">
        <v>600</v>
      </c>
      <c r="I9" s="49">
        <v>1300</v>
      </c>
      <c r="J9" s="54">
        <f t="shared" si="0"/>
        <v>1800</v>
      </c>
      <c r="K9" s="55">
        <f t="shared" si="1"/>
        <v>500</v>
      </c>
      <c r="L9" s="56" t="str">
        <f t="shared" si="2"/>
        <v>Jan</v>
      </c>
    </row>
    <row r="10" spans="1:12" ht="15.75" customHeight="1" x14ac:dyDescent="0.25">
      <c r="A10" s="1">
        <v>1009</v>
      </c>
      <c r="B10" s="2">
        <v>45666</v>
      </c>
      <c r="C10" s="1" t="s">
        <v>10</v>
      </c>
      <c r="D10" s="1" t="s">
        <v>11</v>
      </c>
      <c r="E10" s="1" t="s">
        <v>29</v>
      </c>
      <c r="F10" s="1" t="s">
        <v>13</v>
      </c>
      <c r="G10" s="1">
        <v>12</v>
      </c>
      <c r="H10" s="1">
        <v>80</v>
      </c>
      <c r="I10" s="48">
        <v>700</v>
      </c>
      <c r="J10" s="57">
        <f t="shared" si="0"/>
        <v>960</v>
      </c>
      <c r="K10" s="58">
        <f t="shared" si="1"/>
        <v>260</v>
      </c>
      <c r="L10" s="59" t="str">
        <f t="shared" si="2"/>
        <v>Jan</v>
      </c>
    </row>
    <row r="11" spans="1:12" ht="14.25" customHeight="1" x14ac:dyDescent="0.25">
      <c r="A11" s="3">
        <v>1010</v>
      </c>
      <c r="B11" s="4">
        <v>45667</v>
      </c>
      <c r="C11" s="3" t="s">
        <v>14</v>
      </c>
      <c r="D11" s="3" t="s">
        <v>15</v>
      </c>
      <c r="E11" s="3" t="s">
        <v>30</v>
      </c>
      <c r="F11" s="3" t="s">
        <v>24</v>
      </c>
      <c r="G11" s="3">
        <v>4</v>
      </c>
      <c r="H11" s="3">
        <v>200</v>
      </c>
      <c r="I11" s="49">
        <v>600</v>
      </c>
      <c r="J11" s="54">
        <f t="shared" si="0"/>
        <v>800</v>
      </c>
      <c r="K11" s="55">
        <f t="shared" si="1"/>
        <v>200</v>
      </c>
      <c r="L11" s="56" t="str">
        <f t="shared" si="2"/>
        <v>Jan</v>
      </c>
    </row>
    <row r="12" spans="1:12" ht="14.25" customHeight="1" x14ac:dyDescent="0.25">
      <c r="A12" s="1">
        <v>1011</v>
      </c>
      <c r="B12" s="2">
        <v>45668</v>
      </c>
      <c r="C12" s="1" t="s">
        <v>17</v>
      </c>
      <c r="D12" s="1" t="s">
        <v>18</v>
      </c>
      <c r="E12" s="1" t="s">
        <v>31</v>
      </c>
      <c r="F12" s="1" t="s">
        <v>20</v>
      </c>
      <c r="G12" s="1">
        <v>5</v>
      </c>
      <c r="H12" s="1">
        <v>300</v>
      </c>
      <c r="I12" s="48">
        <v>1100</v>
      </c>
      <c r="J12" s="57">
        <f t="shared" si="0"/>
        <v>1500</v>
      </c>
      <c r="K12" s="58">
        <f t="shared" si="1"/>
        <v>400</v>
      </c>
      <c r="L12" s="59" t="str">
        <f t="shared" si="2"/>
        <v>Jan</v>
      </c>
    </row>
    <row r="13" spans="1:12" ht="15.75" customHeight="1" x14ac:dyDescent="0.25">
      <c r="A13" s="3">
        <v>1012</v>
      </c>
      <c r="B13" s="4">
        <v>45669</v>
      </c>
      <c r="C13" s="3" t="s">
        <v>21</v>
      </c>
      <c r="D13" s="3" t="s">
        <v>22</v>
      </c>
      <c r="E13" s="3" t="s">
        <v>32</v>
      </c>
      <c r="F13" s="3" t="s">
        <v>13</v>
      </c>
      <c r="G13" s="3">
        <v>6</v>
      </c>
      <c r="H13" s="3">
        <v>220</v>
      </c>
      <c r="I13" s="49">
        <v>950</v>
      </c>
      <c r="J13" s="54">
        <f t="shared" si="0"/>
        <v>1320</v>
      </c>
      <c r="K13" s="55">
        <f t="shared" si="1"/>
        <v>370</v>
      </c>
      <c r="L13" s="56" t="str">
        <f t="shared" si="2"/>
        <v>Jan</v>
      </c>
    </row>
    <row r="14" spans="1:12" x14ac:dyDescent="0.25">
      <c r="A14" s="1">
        <v>1013</v>
      </c>
      <c r="B14" s="2">
        <v>45670</v>
      </c>
      <c r="C14" s="1" t="s">
        <v>10</v>
      </c>
      <c r="D14" s="1" t="s">
        <v>11</v>
      </c>
      <c r="E14" s="1" t="s">
        <v>33</v>
      </c>
      <c r="F14" s="1" t="s">
        <v>13</v>
      </c>
      <c r="G14" s="1">
        <v>10</v>
      </c>
      <c r="H14" s="1">
        <v>90</v>
      </c>
      <c r="I14" s="48">
        <v>650</v>
      </c>
      <c r="J14" s="57">
        <f t="shared" si="0"/>
        <v>900</v>
      </c>
      <c r="K14" s="58">
        <f t="shared" si="1"/>
        <v>250</v>
      </c>
      <c r="L14" s="59" t="str">
        <f t="shared" si="2"/>
        <v>Jan</v>
      </c>
    </row>
    <row r="15" spans="1:12" ht="13.5" customHeight="1" x14ac:dyDescent="0.25">
      <c r="A15" s="3">
        <v>1014</v>
      </c>
      <c r="B15" s="4">
        <v>45671</v>
      </c>
      <c r="C15" s="3" t="s">
        <v>14</v>
      </c>
      <c r="D15" s="3" t="s">
        <v>15</v>
      </c>
      <c r="E15" s="3" t="s">
        <v>34</v>
      </c>
      <c r="F15" s="3" t="s">
        <v>20</v>
      </c>
      <c r="G15" s="3">
        <v>5</v>
      </c>
      <c r="H15" s="3">
        <v>180</v>
      </c>
      <c r="I15" s="49">
        <v>670</v>
      </c>
      <c r="J15" s="54">
        <f t="shared" si="0"/>
        <v>900</v>
      </c>
      <c r="K15" s="55">
        <f t="shared" si="1"/>
        <v>230</v>
      </c>
      <c r="L15" s="56" t="str">
        <f t="shared" si="2"/>
        <v>Jan</v>
      </c>
    </row>
    <row r="16" spans="1:12" x14ac:dyDescent="0.25">
      <c r="A16" s="1">
        <v>1015</v>
      </c>
      <c r="B16" s="2">
        <v>45672</v>
      </c>
      <c r="C16" s="1" t="s">
        <v>17</v>
      </c>
      <c r="D16" s="1" t="s">
        <v>18</v>
      </c>
      <c r="E16" s="1" t="s">
        <v>35</v>
      </c>
      <c r="F16" s="1" t="s">
        <v>24</v>
      </c>
      <c r="G16" s="1">
        <v>2</v>
      </c>
      <c r="H16" s="1">
        <v>1200</v>
      </c>
      <c r="I16" s="48">
        <v>1800</v>
      </c>
      <c r="J16" s="57">
        <f t="shared" si="0"/>
        <v>2400</v>
      </c>
      <c r="K16" s="58">
        <f t="shared" si="1"/>
        <v>600</v>
      </c>
      <c r="L16" s="59" t="str">
        <f t="shared" si="2"/>
        <v>Jan</v>
      </c>
    </row>
    <row r="17" spans="1:12" x14ac:dyDescent="0.25">
      <c r="A17" s="3">
        <v>1016</v>
      </c>
      <c r="B17" s="4">
        <v>45673</v>
      </c>
      <c r="C17" s="3" t="s">
        <v>21</v>
      </c>
      <c r="D17" s="3" t="s">
        <v>22</v>
      </c>
      <c r="E17" s="3" t="s">
        <v>36</v>
      </c>
      <c r="F17" s="3" t="s">
        <v>24</v>
      </c>
      <c r="G17" s="3">
        <v>14</v>
      </c>
      <c r="H17" s="3">
        <v>60</v>
      </c>
      <c r="I17" s="49">
        <v>600</v>
      </c>
      <c r="J17" s="54">
        <f t="shared" si="0"/>
        <v>840</v>
      </c>
      <c r="K17" s="55">
        <f t="shared" si="1"/>
        <v>240</v>
      </c>
      <c r="L17" s="56" t="str">
        <f>TEXT(B17,"mmm")</f>
        <v>Jan</v>
      </c>
    </row>
    <row r="18" spans="1:12" x14ac:dyDescent="0.25">
      <c r="A18" s="1">
        <v>1017</v>
      </c>
      <c r="B18" s="2">
        <v>45674</v>
      </c>
      <c r="C18" s="1" t="s">
        <v>10</v>
      </c>
      <c r="D18" s="1" t="s">
        <v>11</v>
      </c>
      <c r="E18" s="1" t="s">
        <v>37</v>
      </c>
      <c r="F18" s="1" t="s">
        <v>13</v>
      </c>
      <c r="G18" s="1">
        <v>20</v>
      </c>
      <c r="H18" s="1">
        <v>25</v>
      </c>
      <c r="I18" s="48">
        <v>350</v>
      </c>
      <c r="J18" s="57">
        <f t="shared" si="0"/>
        <v>500</v>
      </c>
      <c r="K18" s="58">
        <f t="shared" si="1"/>
        <v>150</v>
      </c>
      <c r="L18" s="59" t="str">
        <f t="shared" si="2"/>
        <v>Jan</v>
      </c>
    </row>
    <row r="19" spans="1:12" x14ac:dyDescent="0.25">
      <c r="A19" s="3">
        <v>1018</v>
      </c>
      <c r="B19" s="4">
        <v>45675</v>
      </c>
      <c r="C19" s="3" t="s">
        <v>14</v>
      </c>
      <c r="D19" s="3" t="s">
        <v>15</v>
      </c>
      <c r="E19" s="3" t="s">
        <v>38</v>
      </c>
      <c r="F19" s="3" t="s">
        <v>13</v>
      </c>
      <c r="G19" s="3">
        <v>3</v>
      </c>
      <c r="H19" s="3">
        <v>700</v>
      </c>
      <c r="I19" s="49">
        <v>1600</v>
      </c>
      <c r="J19" s="54">
        <f t="shared" si="0"/>
        <v>2100</v>
      </c>
      <c r="K19" s="55">
        <f t="shared" si="1"/>
        <v>500</v>
      </c>
      <c r="L19" s="56" t="str">
        <f t="shared" si="2"/>
        <v>Jan</v>
      </c>
    </row>
    <row r="20" spans="1:12" ht="16.5" customHeight="1" x14ac:dyDescent="0.25">
      <c r="A20" s="1">
        <v>1019</v>
      </c>
      <c r="B20" s="2">
        <v>45676</v>
      </c>
      <c r="C20" s="1" t="s">
        <v>17</v>
      </c>
      <c r="D20" s="1" t="s">
        <v>18</v>
      </c>
      <c r="E20" s="1" t="s">
        <v>39</v>
      </c>
      <c r="F20" s="1" t="s">
        <v>20</v>
      </c>
      <c r="G20" s="1">
        <v>25</v>
      </c>
      <c r="H20" s="1">
        <v>10</v>
      </c>
      <c r="I20" s="48">
        <v>180</v>
      </c>
      <c r="J20" s="57">
        <f t="shared" si="0"/>
        <v>250</v>
      </c>
      <c r="K20" s="58">
        <f t="shared" si="1"/>
        <v>70</v>
      </c>
      <c r="L20" s="59" t="str">
        <f t="shared" si="2"/>
        <v>Jan</v>
      </c>
    </row>
    <row r="21" spans="1:12" ht="17.25" customHeight="1" x14ac:dyDescent="0.25">
      <c r="A21" s="3">
        <v>1020</v>
      </c>
      <c r="B21" s="4">
        <v>45677</v>
      </c>
      <c r="C21" s="3" t="s">
        <v>21</v>
      </c>
      <c r="D21" s="3" t="s">
        <v>22</v>
      </c>
      <c r="E21" s="3" t="s">
        <v>40</v>
      </c>
      <c r="F21" s="3" t="s">
        <v>24</v>
      </c>
      <c r="G21" s="3">
        <v>3</v>
      </c>
      <c r="H21" s="3">
        <v>500</v>
      </c>
      <c r="I21" s="49">
        <v>1100</v>
      </c>
      <c r="J21" s="54">
        <f t="shared" si="0"/>
        <v>1500</v>
      </c>
      <c r="K21" s="55">
        <f t="shared" si="1"/>
        <v>400</v>
      </c>
      <c r="L21" s="56" t="str">
        <f t="shared" si="2"/>
        <v>Jan</v>
      </c>
    </row>
    <row r="22" spans="1:12" x14ac:dyDescent="0.25">
      <c r="A22" s="1">
        <v>1021</v>
      </c>
      <c r="B22" s="2">
        <v>45678</v>
      </c>
      <c r="C22" s="1" t="s">
        <v>10</v>
      </c>
      <c r="D22" s="1" t="s">
        <v>11</v>
      </c>
      <c r="E22" s="1" t="s">
        <v>41</v>
      </c>
      <c r="F22" s="1" t="s">
        <v>13</v>
      </c>
      <c r="G22" s="1">
        <v>4</v>
      </c>
      <c r="H22" s="1">
        <v>900</v>
      </c>
      <c r="I22" s="48">
        <v>2800</v>
      </c>
      <c r="J22" s="57">
        <f t="shared" si="0"/>
        <v>3600</v>
      </c>
      <c r="K22" s="58">
        <f t="shared" si="1"/>
        <v>800</v>
      </c>
      <c r="L22" s="59" t="str">
        <f t="shared" si="2"/>
        <v>Jan</v>
      </c>
    </row>
    <row r="23" spans="1:12" x14ac:dyDescent="0.25">
      <c r="A23" s="3">
        <v>1022</v>
      </c>
      <c r="B23" s="4">
        <v>45679</v>
      </c>
      <c r="C23" s="3" t="s">
        <v>14</v>
      </c>
      <c r="D23" s="3" t="s">
        <v>15</v>
      </c>
      <c r="E23" s="3" t="s">
        <v>42</v>
      </c>
      <c r="F23" s="3" t="s">
        <v>13</v>
      </c>
      <c r="G23" s="3">
        <v>10</v>
      </c>
      <c r="H23" s="3">
        <v>120</v>
      </c>
      <c r="I23" s="49">
        <v>900</v>
      </c>
      <c r="J23" s="54">
        <f t="shared" si="0"/>
        <v>1200</v>
      </c>
      <c r="K23" s="55">
        <f t="shared" si="1"/>
        <v>300</v>
      </c>
      <c r="L23" s="56" t="str">
        <f t="shared" si="2"/>
        <v>Jan</v>
      </c>
    </row>
    <row r="24" spans="1:12" ht="18" customHeight="1" x14ac:dyDescent="0.25">
      <c r="A24" s="1">
        <v>1023</v>
      </c>
      <c r="B24" s="2">
        <v>45680</v>
      </c>
      <c r="C24" s="1" t="s">
        <v>17</v>
      </c>
      <c r="D24" s="1" t="s">
        <v>18</v>
      </c>
      <c r="E24" s="1" t="s">
        <v>43</v>
      </c>
      <c r="F24" s="1" t="s">
        <v>20</v>
      </c>
      <c r="G24" s="1">
        <v>18</v>
      </c>
      <c r="H24" s="1">
        <v>15</v>
      </c>
      <c r="I24" s="48">
        <v>200</v>
      </c>
      <c r="J24" s="57">
        <f t="shared" si="0"/>
        <v>270</v>
      </c>
      <c r="K24" s="58">
        <f t="shared" si="1"/>
        <v>70</v>
      </c>
      <c r="L24" s="59" t="str">
        <f t="shared" si="2"/>
        <v>Jan</v>
      </c>
    </row>
    <row r="25" spans="1:12" ht="16.5" customHeight="1" x14ac:dyDescent="0.25">
      <c r="A25" s="3">
        <v>1024</v>
      </c>
      <c r="B25" s="4">
        <v>45681</v>
      </c>
      <c r="C25" s="3" t="s">
        <v>21</v>
      </c>
      <c r="D25" s="3" t="s">
        <v>22</v>
      </c>
      <c r="E25" s="3" t="s">
        <v>44</v>
      </c>
      <c r="F25" s="3" t="s">
        <v>20</v>
      </c>
      <c r="G25" s="3">
        <v>6</v>
      </c>
      <c r="H25" s="3">
        <v>140</v>
      </c>
      <c r="I25" s="49">
        <v>600</v>
      </c>
      <c r="J25" s="54">
        <f t="shared" si="0"/>
        <v>840</v>
      </c>
      <c r="K25" s="55">
        <f t="shared" si="1"/>
        <v>240</v>
      </c>
      <c r="L25" s="56" t="str">
        <f t="shared" si="2"/>
        <v>Jan</v>
      </c>
    </row>
    <row r="26" spans="1:12" x14ac:dyDescent="0.25">
      <c r="A26" s="1">
        <v>1025</v>
      </c>
      <c r="B26" s="2">
        <v>45682</v>
      </c>
      <c r="C26" s="1" t="s">
        <v>10</v>
      </c>
      <c r="D26" s="1" t="s">
        <v>11</v>
      </c>
      <c r="E26" s="1" t="s">
        <v>45</v>
      </c>
      <c r="F26" s="1" t="s">
        <v>13</v>
      </c>
      <c r="G26" s="1">
        <v>3</v>
      </c>
      <c r="H26" s="1">
        <v>1000</v>
      </c>
      <c r="I26" s="48">
        <v>2300</v>
      </c>
      <c r="J26" s="57">
        <f t="shared" si="0"/>
        <v>3000</v>
      </c>
      <c r="K26" s="58">
        <f t="shared" si="1"/>
        <v>700</v>
      </c>
      <c r="L26" s="59" t="str">
        <f t="shared" si="2"/>
        <v>Jan</v>
      </c>
    </row>
    <row r="27" spans="1:12" x14ac:dyDescent="0.25">
      <c r="A27" s="3">
        <v>1026</v>
      </c>
      <c r="B27" s="4">
        <v>45683</v>
      </c>
      <c r="C27" s="3" t="s">
        <v>14</v>
      </c>
      <c r="D27" s="3" t="s">
        <v>15</v>
      </c>
      <c r="E27" s="3" t="s">
        <v>46</v>
      </c>
      <c r="F27" s="3" t="s">
        <v>13</v>
      </c>
      <c r="G27" s="3">
        <v>2</v>
      </c>
      <c r="H27" s="3">
        <v>1500</v>
      </c>
      <c r="I27" s="49">
        <v>2400</v>
      </c>
      <c r="J27" s="54">
        <f t="shared" si="0"/>
        <v>3000</v>
      </c>
      <c r="K27" s="55">
        <f t="shared" si="1"/>
        <v>600</v>
      </c>
      <c r="L27" s="56" t="str">
        <f t="shared" si="2"/>
        <v>Jan</v>
      </c>
    </row>
    <row r="28" spans="1:12" x14ac:dyDescent="0.25">
      <c r="A28" s="1">
        <v>1027</v>
      </c>
      <c r="B28" s="2">
        <v>45684</v>
      </c>
      <c r="C28" s="1" t="s">
        <v>17</v>
      </c>
      <c r="D28" s="1" t="s">
        <v>18</v>
      </c>
      <c r="E28" s="1" t="s">
        <v>47</v>
      </c>
      <c r="F28" s="1" t="s">
        <v>24</v>
      </c>
      <c r="G28" s="1">
        <v>5</v>
      </c>
      <c r="H28" s="1">
        <v>350</v>
      </c>
      <c r="I28" s="48">
        <v>1300</v>
      </c>
      <c r="J28" s="57">
        <f t="shared" si="0"/>
        <v>1750</v>
      </c>
      <c r="K28" s="58">
        <f t="shared" si="1"/>
        <v>450</v>
      </c>
      <c r="L28" s="59" t="str">
        <f t="shared" si="2"/>
        <v>Jan</v>
      </c>
    </row>
    <row r="29" spans="1:12" x14ac:dyDescent="0.25">
      <c r="A29" s="3">
        <v>1028</v>
      </c>
      <c r="B29" s="4">
        <v>45685</v>
      </c>
      <c r="C29" s="3" t="s">
        <v>21</v>
      </c>
      <c r="D29" s="3" t="s">
        <v>22</v>
      </c>
      <c r="E29" s="3" t="s">
        <v>48</v>
      </c>
      <c r="F29" s="3" t="s">
        <v>24</v>
      </c>
      <c r="G29" s="3">
        <v>12</v>
      </c>
      <c r="H29" s="3">
        <v>90</v>
      </c>
      <c r="I29" s="49">
        <v>800</v>
      </c>
      <c r="J29" s="54">
        <f t="shared" si="0"/>
        <v>1080</v>
      </c>
      <c r="K29" s="55">
        <f t="shared" si="1"/>
        <v>280</v>
      </c>
      <c r="L29" s="56" t="str">
        <f t="shared" si="2"/>
        <v>Jan</v>
      </c>
    </row>
    <row r="30" spans="1:12" x14ac:dyDescent="0.25">
      <c r="A30" s="1">
        <v>1029</v>
      </c>
      <c r="B30" s="2">
        <v>45686</v>
      </c>
      <c r="C30" s="1" t="s">
        <v>10</v>
      </c>
      <c r="D30" s="1" t="s">
        <v>11</v>
      </c>
      <c r="E30" s="1" t="s">
        <v>49</v>
      </c>
      <c r="F30" s="1" t="s">
        <v>13</v>
      </c>
      <c r="G30" s="1">
        <v>7</v>
      </c>
      <c r="H30" s="1">
        <v>150</v>
      </c>
      <c r="I30" s="48">
        <v>780</v>
      </c>
      <c r="J30" s="57">
        <f t="shared" si="0"/>
        <v>1050</v>
      </c>
      <c r="K30" s="58">
        <f t="shared" si="1"/>
        <v>270</v>
      </c>
      <c r="L30" s="59" t="str">
        <f t="shared" si="2"/>
        <v>Jan</v>
      </c>
    </row>
    <row r="31" spans="1:12" ht="18" customHeight="1" x14ac:dyDescent="0.25">
      <c r="A31" s="3">
        <v>1030</v>
      </c>
      <c r="B31" s="4">
        <v>45687</v>
      </c>
      <c r="C31" s="3" t="s">
        <v>14</v>
      </c>
      <c r="D31" s="3" t="s">
        <v>15</v>
      </c>
      <c r="E31" s="3" t="s">
        <v>50</v>
      </c>
      <c r="F31" s="3" t="s">
        <v>13</v>
      </c>
      <c r="G31" s="3">
        <v>9</v>
      </c>
      <c r="H31" s="3">
        <v>100</v>
      </c>
      <c r="I31" s="49">
        <v>650</v>
      </c>
      <c r="J31" s="54">
        <f t="shared" si="0"/>
        <v>900</v>
      </c>
      <c r="K31" s="55">
        <f t="shared" si="1"/>
        <v>250</v>
      </c>
      <c r="L31" s="56" t="str">
        <f t="shared" si="2"/>
        <v>Jan</v>
      </c>
    </row>
    <row r="32" spans="1:12" ht="16.5" customHeight="1" x14ac:dyDescent="0.25">
      <c r="A32" s="1">
        <v>1031</v>
      </c>
      <c r="B32" s="2">
        <v>45688</v>
      </c>
      <c r="C32" s="1" t="s">
        <v>17</v>
      </c>
      <c r="D32" s="1" t="s">
        <v>18</v>
      </c>
      <c r="E32" s="1" t="s">
        <v>51</v>
      </c>
      <c r="F32" s="1" t="s">
        <v>20</v>
      </c>
      <c r="G32" s="1">
        <v>30</v>
      </c>
      <c r="H32" s="1">
        <v>5</v>
      </c>
      <c r="I32" s="48">
        <v>100</v>
      </c>
      <c r="J32" s="57">
        <f t="shared" si="0"/>
        <v>150</v>
      </c>
      <c r="K32" s="58">
        <f t="shared" si="1"/>
        <v>50</v>
      </c>
      <c r="L32" s="59" t="str">
        <f t="shared" si="2"/>
        <v>Jan</v>
      </c>
    </row>
    <row r="33" spans="1:12" x14ac:dyDescent="0.25">
      <c r="A33" s="3">
        <v>1032</v>
      </c>
      <c r="B33" s="4">
        <v>45689</v>
      </c>
      <c r="C33" s="3" t="s">
        <v>21</v>
      </c>
      <c r="D33" s="3" t="s">
        <v>22</v>
      </c>
      <c r="E33" s="3" t="s">
        <v>52</v>
      </c>
      <c r="F33" s="3" t="s">
        <v>24</v>
      </c>
      <c r="G33" s="3">
        <v>4</v>
      </c>
      <c r="H33" s="3">
        <v>300</v>
      </c>
      <c r="I33" s="49">
        <v>880</v>
      </c>
      <c r="J33" s="54">
        <f t="shared" si="0"/>
        <v>1200</v>
      </c>
      <c r="K33" s="55">
        <f t="shared" si="1"/>
        <v>320</v>
      </c>
      <c r="L33" s="56" t="str">
        <f t="shared" si="2"/>
        <v>Feb</v>
      </c>
    </row>
    <row r="34" spans="1:12" ht="17.25" customHeight="1" x14ac:dyDescent="0.25">
      <c r="A34" s="1">
        <v>1033</v>
      </c>
      <c r="B34" s="2">
        <v>45690</v>
      </c>
      <c r="C34" s="1" t="s">
        <v>10</v>
      </c>
      <c r="D34" s="1" t="s">
        <v>11</v>
      </c>
      <c r="E34" s="1" t="s">
        <v>53</v>
      </c>
      <c r="F34" s="1" t="s">
        <v>13</v>
      </c>
      <c r="G34" s="1">
        <v>6</v>
      </c>
      <c r="H34" s="1">
        <v>700</v>
      </c>
      <c r="I34" s="48">
        <v>3300</v>
      </c>
      <c r="J34" s="57">
        <f t="shared" si="0"/>
        <v>4200</v>
      </c>
      <c r="K34" s="58">
        <f t="shared" si="1"/>
        <v>900</v>
      </c>
      <c r="L34" s="59" t="str">
        <f t="shared" si="2"/>
        <v>Feb</v>
      </c>
    </row>
    <row r="35" spans="1:12" x14ac:dyDescent="0.25">
      <c r="A35" s="3">
        <v>1034</v>
      </c>
      <c r="B35" s="4">
        <v>45691</v>
      </c>
      <c r="C35" s="3" t="s">
        <v>14</v>
      </c>
      <c r="D35" s="3" t="s">
        <v>15</v>
      </c>
      <c r="E35" s="3" t="s">
        <v>12</v>
      </c>
      <c r="F35" s="3" t="s">
        <v>13</v>
      </c>
      <c r="G35" s="3">
        <v>4</v>
      </c>
      <c r="H35" s="3">
        <v>850</v>
      </c>
      <c r="I35" s="49">
        <v>2600</v>
      </c>
      <c r="J35" s="54">
        <f t="shared" si="0"/>
        <v>3400</v>
      </c>
      <c r="K35" s="55">
        <f t="shared" si="1"/>
        <v>800</v>
      </c>
      <c r="L35" s="56" t="str">
        <f t="shared" si="2"/>
        <v>Feb</v>
      </c>
    </row>
    <row r="36" spans="1:12" x14ac:dyDescent="0.25">
      <c r="A36" s="1">
        <v>1035</v>
      </c>
      <c r="B36" s="2">
        <v>45692</v>
      </c>
      <c r="C36" s="1" t="s">
        <v>17</v>
      </c>
      <c r="D36" s="1" t="s">
        <v>18</v>
      </c>
      <c r="E36" s="1" t="s">
        <v>54</v>
      </c>
      <c r="F36" s="1" t="s">
        <v>24</v>
      </c>
      <c r="G36" s="1">
        <v>3</v>
      </c>
      <c r="H36" s="1">
        <v>650</v>
      </c>
      <c r="I36" s="48">
        <v>1450</v>
      </c>
      <c r="J36" s="57">
        <f t="shared" si="0"/>
        <v>1950</v>
      </c>
      <c r="K36" s="58">
        <f t="shared" si="1"/>
        <v>500</v>
      </c>
      <c r="L36" s="59" t="str">
        <f t="shared" si="2"/>
        <v>Feb</v>
      </c>
    </row>
    <row r="37" spans="1:12" ht="14.25" customHeight="1" x14ac:dyDescent="0.25">
      <c r="A37" s="3">
        <v>1036</v>
      </c>
      <c r="B37" s="4">
        <v>45693</v>
      </c>
      <c r="C37" s="3" t="s">
        <v>21</v>
      </c>
      <c r="D37" s="3" t="s">
        <v>22</v>
      </c>
      <c r="E37" s="3" t="s">
        <v>27</v>
      </c>
      <c r="F37" s="3" t="s">
        <v>20</v>
      </c>
      <c r="G37" s="3">
        <v>22</v>
      </c>
      <c r="H37" s="3">
        <v>35</v>
      </c>
      <c r="I37" s="49">
        <v>550</v>
      </c>
      <c r="J37" s="54">
        <f t="shared" si="0"/>
        <v>770</v>
      </c>
      <c r="K37" s="55">
        <f t="shared" si="1"/>
        <v>220</v>
      </c>
      <c r="L37" s="56" t="str">
        <f t="shared" si="2"/>
        <v>Feb</v>
      </c>
    </row>
    <row r="38" spans="1:12" x14ac:dyDescent="0.25">
      <c r="A38" s="1">
        <v>1037</v>
      </c>
      <c r="B38" s="2">
        <v>45694</v>
      </c>
      <c r="C38" s="1" t="s">
        <v>10</v>
      </c>
      <c r="D38" s="1" t="s">
        <v>11</v>
      </c>
      <c r="E38" s="1" t="s">
        <v>26</v>
      </c>
      <c r="F38" s="1" t="s">
        <v>13</v>
      </c>
      <c r="G38" s="1">
        <v>5</v>
      </c>
      <c r="H38" s="1">
        <v>300</v>
      </c>
      <c r="I38" s="48">
        <v>1150</v>
      </c>
      <c r="J38" s="57">
        <f t="shared" si="0"/>
        <v>1500</v>
      </c>
      <c r="K38" s="58">
        <f t="shared" si="1"/>
        <v>350</v>
      </c>
      <c r="L38" s="59" t="str">
        <f t="shared" si="2"/>
        <v>Feb</v>
      </c>
    </row>
    <row r="39" spans="1:12" x14ac:dyDescent="0.25">
      <c r="A39" s="3">
        <v>1038</v>
      </c>
      <c r="B39" s="4">
        <v>45695</v>
      </c>
      <c r="C39" s="3" t="s">
        <v>14</v>
      </c>
      <c r="D39" s="3" t="s">
        <v>15</v>
      </c>
      <c r="E39" s="3" t="s">
        <v>25</v>
      </c>
      <c r="F39" s="3" t="s">
        <v>13</v>
      </c>
      <c r="G39" s="3">
        <v>8</v>
      </c>
      <c r="H39" s="3">
        <v>380</v>
      </c>
      <c r="I39" s="49">
        <v>2300</v>
      </c>
      <c r="J39" s="54">
        <f t="shared" si="0"/>
        <v>3040</v>
      </c>
      <c r="K39" s="55">
        <f t="shared" si="1"/>
        <v>740</v>
      </c>
      <c r="L39" s="56" t="str">
        <f t="shared" si="2"/>
        <v>Feb</v>
      </c>
    </row>
    <row r="40" spans="1:12" ht="12.75" customHeight="1" x14ac:dyDescent="0.25">
      <c r="A40" s="1">
        <v>1039</v>
      </c>
      <c r="B40" s="2">
        <v>45696</v>
      </c>
      <c r="C40" s="1" t="s">
        <v>17</v>
      </c>
      <c r="D40" s="1" t="s">
        <v>18</v>
      </c>
      <c r="E40" s="1" t="s">
        <v>19</v>
      </c>
      <c r="F40" s="1" t="s">
        <v>20</v>
      </c>
      <c r="G40" s="1">
        <v>4</v>
      </c>
      <c r="H40" s="1">
        <v>200</v>
      </c>
      <c r="I40" s="48">
        <v>600</v>
      </c>
      <c r="J40" s="57">
        <f t="shared" si="0"/>
        <v>800</v>
      </c>
      <c r="K40" s="58">
        <f t="shared" si="1"/>
        <v>200</v>
      </c>
      <c r="L40" s="59" t="str">
        <f t="shared" si="2"/>
        <v>Feb</v>
      </c>
    </row>
    <row r="41" spans="1:12" x14ac:dyDescent="0.25">
      <c r="A41" s="3">
        <v>1040</v>
      </c>
      <c r="B41" s="4">
        <v>45697</v>
      </c>
      <c r="C41" s="3" t="s">
        <v>21</v>
      </c>
      <c r="D41" s="3" t="s">
        <v>22</v>
      </c>
      <c r="E41" s="3" t="s">
        <v>35</v>
      </c>
      <c r="F41" s="3" t="s">
        <v>24</v>
      </c>
      <c r="G41" s="3">
        <v>2</v>
      </c>
      <c r="H41" s="3">
        <v>1300</v>
      </c>
      <c r="I41" s="49">
        <v>2000</v>
      </c>
      <c r="J41" s="54">
        <f t="shared" si="0"/>
        <v>2600</v>
      </c>
      <c r="K41" s="55">
        <f t="shared" si="1"/>
        <v>600</v>
      </c>
      <c r="L41" s="56" t="str">
        <f t="shared" si="2"/>
        <v>Feb</v>
      </c>
    </row>
    <row r="42" spans="1:12" x14ac:dyDescent="0.25">
      <c r="A42" s="1">
        <v>1041</v>
      </c>
      <c r="B42" s="2">
        <v>45698</v>
      </c>
      <c r="C42" s="1" t="s">
        <v>10</v>
      </c>
      <c r="D42" s="1" t="s">
        <v>11</v>
      </c>
      <c r="E42" s="1" t="s">
        <v>37</v>
      </c>
      <c r="F42" s="1" t="s">
        <v>13</v>
      </c>
      <c r="G42" s="1">
        <v>25</v>
      </c>
      <c r="H42" s="1">
        <v>20</v>
      </c>
      <c r="I42" s="48">
        <v>350</v>
      </c>
      <c r="J42" s="57">
        <f t="shared" si="0"/>
        <v>500</v>
      </c>
      <c r="K42" s="58">
        <f t="shared" si="1"/>
        <v>150</v>
      </c>
      <c r="L42" s="59" t="str">
        <f t="shared" si="2"/>
        <v>Feb</v>
      </c>
    </row>
    <row r="43" spans="1:12" x14ac:dyDescent="0.25">
      <c r="A43" s="3">
        <v>1042</v>
      </c>
      <c r="B43" s="4">
        <v>45699</v>
      </c>
      <c r="C43" s="3" t="s">
        <v>14</v>
      </c>
      <c r="D43" s="3" t="s">
        <v>15</v>
      </c>
      <c r="E43" s="3" t="s">
        <v>41</v>
      </c>
      <c r="F43" s="3" t="s">
        <v>13</v>
      </c>
      <c r="G43" s="3">
        <v>3</v>
      </c>
      <c r="H43" s="3">
        <v>950</v>
      </c>
      <c r="I43" s="49">
        <v>2200</v>
      </c>
      <c r="J43" s="54">
        <f t="shared" si="0"/>
        <v>2850</v>
      </c>
      <c r="K43" s="55">
        <f t="shared" si="1"/>
        <v>650</v>
      </c>
      <c r="L43" s="56" t="str">
        <f t="shared" si="2"/>
        <v>Feb</v>
      </c>
    </row>
    <row r="44" spans="1:12" ht="16.5" customHeight="1" x14ac:dyDescent="0.25">
      <c r="A44" s="1">
        <v>1043</v>
      </c>
      <c r="B44" s="2">
        <v>45700</v>
      </c>
      <c r="C44" s="1" t="s">
        <v>17</v>
      </c>
      <c r="D44" s="1" t="s">
        <v>18</v>
      </c>
      <c r="E44" s="1" t="s">
        <v>39</v>
      </c>
      <c r="F44" s="1" t="s">
        <v>20</v>
      </c>
      <c r="G44" s="1">
        <v>40</v>
      </c>
      <c r="H44" s="1">
        <v>8</v>
      </c>
      <c r="I44" s="48">
        <v>240</v>
      </c>
      <c r="J44" s="57">
        <f t="shared" si="0"/>
        <v>320</v>
      </c>
      <c r="K44" s="58">
        <f t="shared" si="1"/>
        <v>80</v>
      </c>
      <c r="L44" s="59" t="str">
        <f t="shared" si="2"/>
        <v>Feb</v>
      </c>
    </row>
    <row r="45" spans="1:12" x14ac:dyDescent="0.25">
      <c r="A45" s="3">
        <v>1044</v>
      </c>
      <c r="B45" s="4">
        <v>45701</v>
      </c>
      <c r="C45" s="3" t="s">
        <v>21</v>
      </c>
      <c r="D45" s="3" t="s">
        <v>22</v>
      </c>
      <c r="E45" s="3" t="s">
        <v>34</v>
      </c>
      <c r="F45" s="3" t="s">
        <v>24</v>
      </c>
      <c r="G45" s="3">
        <v>3</v>
      </c>
      <c r="H45" s="3">
        <v>550</v>
      </c>
      <c r="I45" s="49">
        <v>1250</v>
      </c>
      <c r="J45" s="54">
        <f t="shared" si="0"/>
        <v>1650</v>
      </c>
      <c r="K45" s="55">
        <f t="shared" si="1"/>
        <v>400</v>
      </c>
      <c r="L45" s="56" t="str">
        <f t="shared" si="2"/>
        <v>Feb</v>
      </c>
    </row>
    <row r="46" spans="1:12" x14ac:dyDescent="0.25">
      <c r="A46" s="1">
        <v>1045</v>
      </c>
      <c r="B46" s="2">
        <v>45702</v>
      </c>
      <c r="C46" s="1" t="s">
        <v>10</v>
      </c>
      <c r="D46" s="1" t="s">
        <v>11</v>
      </c>
      <c r="E46" s="1" t="s">
        <v>33</v>
      </c>
      <c r="F46" s="1" t="s">
        <v>13</v>
      </c>
      <c r="G46" s="1">
        <v>12</v>
      </c>
      <c r="H46" s="1">
        <v>85</v>
      </c>
      <c r="I46" s="48">
        <v>760</v>
      </c>
      <c r="J46" s="57">
        <f t="shared" si="0"/>
        <v>1020</v>
      </c>
      <c r="K46" s="58">
        <f t="shared" si="1"/>
        <v>260</v>
      </c>
      <c r="L46" s="59" t="str">
        <f t="shared" si="2"/>
        <v>Feb</v>
      </c>
    </row>
    <row r="47" spans="1:12" x14ac:dyDescent="0.25">
      <c r="A47" s="3">
        <v>1046</v>
      </c>
      <c r="B47" s="4">
        <v>45703</v>
      </c>
      <c r="C47" s="3" t="s">
        <v>14</v>
      </c>
      <c r="D47" s="3" t="s">
        <v>15</v>
      </c>
      <c r="E47" s="3" t="s">
        <v>38</v>
      </c>
      <c r="F47" s="3" t="s">
        <v>13</v>
      </c>
      <c r="G47" s="3">
        <v>2</v>
      </c>
      <c r="H47" s="3">
        <v>750</v>
      </c>
      <c r="I47" s="49">
        <v>1150</v>
      </c>
      <c r="J47" s="54">
        <f t="shared" si="0"/>
        <v>1500</v>
      </c>
      <c r="K47" s="55">
        <f t="shared" si="1"/>
        <v>350</v>
      </c>
      <c r="L47" s="56" t="str">
        <f t="shared" si="2"/>
        <v>Feb</v>
      </c>
    </row>
    <row r="48" spans="1:12" ht="20.25" customHeight="1" x14ac:dyDescent="0.25">
      <c r="A48" s="1">
        <v>1047</v>
      </c>
      <c r="B48" s="2">
        <v>45704</v>
      </c>
      <c r="C48" s="1" t="s">
        <v>17</v>
      </c>
      <c r="D48" s="1" t="s">
        <v>18</v>
      </c>
      <c r="E48" s="1" t="s">
        <v>43</v>
      </c>
      <c r="F48" s="1" t="s">
        <v>20</v>
      </c>
      <c r="G48" s="1">
        <v>20</v>
      </c>
      <c r="H48" s="1">
        <v>18</v>
      </c>
      <c r="I48" s="48">
        <v>270</v>
      </c>
      <c r="J48" s="57">
        <f t="shared" si="0"/>
        <v>360</v>
      </c>
      <c r="K48" s="58">
        <f t="shared" si="1"/>
        <v>90</v>
      </c>
      <c r="L48" s="59" t="str">
        <f t="shared" si="2"/>
        <v>Feb</v>
      </c>
    </row>
    <row r="49" spans="1:12" ht="16.5" customHeight="1" x14ac:dyDescent="0.25">
      <c r="A49" s="3">
        <v>1048</v>
      </c>
      <c r="B49" s="4">
        <v>45705</v>
      </c>
      <c r="C49" s="3" t="s">
        <v>21</v>
      </c>
      <c r="D49" s="3" t="s">
        <v>22</v>
      </c>
      <c r="E49" s="3" t="s">
        <v>23</v>
      </c>
      <c r="F49" s="3" t="s">
        <v>24</v>
      </c>
      <c r="G49" s="3">
        <v>8</v>
      </c>
      <c r="H49" s="3">
        <v>140</v>
      </c>
      <c r="I49" s="49">
        <v>840</v>
      </c>
      <c r="J49" s="54">
        <f t="shared" si="0"/>
        <v>1120</v>
      </c>
      <c r="K49" s="55">
        <f t="shared" si="1"/>
        <v>280</v>
      </c>
      <c r="L49" s="56" t="str">
        <f t="shared" si="2"/>
        <v>Feb</v>
      </c>
    </row>
    <row r="50" spans="1:12" x14ac:dyDescent="0.25">
      <c r="A50" s="1">
        <v>1049</v>
      </c>
      <c r="B50" s="2">
        <v>45706</v>
      </c>
      <c r="C50" s="1" t="s">
        <v>10</v>
      </c>
      <c r="D50" s="1" t="s">
        <v>11</v>
      </c>
      <c r="E50" s="1" t="s">
        <v>45</v>
      </c>
      <c r="F50" s="1" t="s">
        <v>13</v>
      </c>
      <c r="G50" s="1">
        <v>2</v>
      </c>
      <c r="H50" s="1">
        <v>1100</v>
      </c>
      <c r="I50" s="48">
        <v>1700</v>
      </c>
      <c r="J50" s="57">
        <f t="shared" si="0"/>
        <v>2200</v>
      </c>
      <c r="K50" s="58">
        <f t="shared" si="1"/>
        <v>500</v>
      </c>
      <c r="L50" s="59" t="str">
        <f t="shared" si="2"/>
        <v>Feb</v>
      </c>
    </row>
    <row r="51" spans="1:12" x14ac:dyDescent="0.25">
      <c r="A51" s="3">
        <v>1050</v>
      </c>
      <c r="B51" s="4">
        <v>45707</v>
      </c>
      <c r="C51" s="3" t="s">
        <v>14</v>
      </c>
      <c r="D51" s="3" t="s">
        <v>15</v>
      </c>
      <c r="E51" s="3" t="s">
        <v>46</v>
      </c>
      <c r="F51" s="3" t="s">
        <v>13</v>
      </c>
      <c r="G51" s="3">
        <v>1</v>
      </c>
      <c r="H51" s="3">
        <v>1800</v>
      </c>
      <c r="I51" s="49">
        <v>1400</v>
      </c>
      <c r="J51" s="54">
        <f t="shared" si="0"/>
        <v>1800</v>
      </c>
      <c r="K51" s="55">
        <f t="shared" si="1"/>
        <v>400</v>
      </c>
      <c r="L51" s="56" t="str">
        <f t="shared" si="2"/>
        <v>Feb</v>
      </c>
    </row>
    <row r="52" spans="1:12" x14ac:dyDescent="0.25">
      <c r="A52" s="1">
        <v>1051</v>
      </c>
      <c r="B52" s="2">
        <v>45708</v>
      </c>
      <c r="C52" s="1" t="s">
        <v>17</v>
      </c>
      <c r="D52" s="1" t="s">
        <v>18</v>
      </c>
      <c r="E52" s="1" t="s">
        <v>47</v>
      </c>
      <c r="F52" s="1" t="s">
        <v>24</v>
      </c>
      <c r="G52" s="1">
        <v>4</v>
      </c>
      <c r="H52" s="1">
        <v>400</v>
      </c>
      <c r="I52" s="48">
        <v>1200</v>
      </c>
      <c r="J52" s="57">
        <f t="shared" si="0"/>
        <v>1600</v>
      </c>
      <c r="K52" s="58">
        <f t="shared" si="1"/>
        <v>400</v>
      </c>
      <c r="L52" s="59" t="str">
        <f t="shared" si="2"/>
        <v>Feb</v>
      </c>
    </row>
    <row r="53" spans="1:12" x14ac:dyDescent="0.25">
      <c r="A53" s="3">
        <v>1052</v>
      </c>
      <c r="B53" s="4">
        <v>45709</v>
      </c>
      <c r="C53" s="3" t="s">
        <v>21</v>
      </c>
      <c r="D53" s="3" t="s">
        <v>22</v>
      </c>
      <c r="E53" s="3" t="s">
        <v>36</v>
      </c>
      <c r="F53" s="3" t="s">
        <v>24</v>
      </c>
      <c r="G53" s="3">
        <v>18</v>
      </c>
      <c r="H53" s="3">
        <v>55</v>
      </c>
      <c r="I53" s="49">
        <v>730</v>
      </c>
      <c r="J53" s="54">
        <f t="shared" si="0"/>
        <v>990</v>
      </c>
      <c r="K53" s="55">
        <f t="shared" si="1"/>
        <v>260</v>
      </c>
      <c r="L53" s="56" t="str">
        <f t="shared" si="2"/>
        <v>Feb</v>
      </c>
    </row>
    <row r="54" spans="1:12" x14ac:dyDescent="0.25">
      <c r="A54" s="1">
        <v>1053</v>
      </c>
      <c r="B54" s="2">
        <v>45710</v>
      </c>
      <c r="C54" s="1" t="s">
        <v>10</v>
      </c>
      <c r="D54" s="1" t="s">
        <v>11</v>
      </c>
      <c r="E54" s="1" t="s">
        <v>49</v>
      </c>
      <c r="F54" s="1" t="s">
        <v>13</v>
      </c>
      <c r="G54" s="1">
        <v>10</v>
      </c>
      <c r="H54" s="1">
        <v>130</v>
      </c>
      <c r="I54" s="48">
        <v>980</v>
      </c>
      <c r="J54" s="57">
        <f t="shared" si="0"/>
        <v>1300</v>
      </c>
      <c r="K54" s="58">
        <f t="shared" si="1"/>
        <v>320</v>
      </c>
      <c r="L54" s="59" t="str">
        <f t="shared" si="2"/>
        <v>Feb</v>
      </c>
    </row>
    <row r="55" spans="1:12" ht="20.25" customHeight="1" x14ac:dyDescent="0.25">
      <c r="A55" s="3">
        <v>1054</v>
      </c>
      <c r="B55" s="4">
        <v>45711</v>
      </c>
      <c r="C55" s="3" t="s">
        <v>14</v>
      </c>
      <c r="D55" s="3" t="s">
        <v>15</v>
      </c>
      <c r="E55" s="3" t="s">
        <v>50</v>
      </c>
      <c r="F55" s="3" t="s">
        <v>13</v>
      </c>
      <c r="G55" s="3">
        <v>12</v>
      </c>
      <c r="H55" s="3">
        <v>95</v>
      </c>
      <c r="I55" s="49">
        <v>850</v>
      </c>
      <c r="J55" s="54">
        <f t="shared" si="0"/>
        <v>1140</v>
      </c>
      <c r="K55" s="55">
        <f t="shared" si="1"/>
        <v>290</v>
      </c>
      <c r="L55" s="56" t="str">
        <f t="shared" si="2"/>
        <v>Feb</v>
      </c>
    </row>
    <row r="56" spans="1:12" ht="16.5" customHeight="1" x14ac:dyDescent="0.25">
      <c r="A56" s="1">
        <v>1055</v>
      </c>
      <c r="B56" s="2">
        <v>45712</v>
      </c>
      <c r="C56" s="1" t="s">
        <v>17</v>
      </c>
      <c r="D56" s="1" t="s">
        <v>18</v>
      </c>
      <c r="E56" s="1" t="s">
        <v>51</v>
      </c>
      <c r="F56" s="1" t="s">
        <v>20</v>
      </c>
      <c r="G56" s="1">
        <v>50</v>
      </c>
      <c r="H56" s="1">
        <v>4</v>
      </c>
      <c r="I56" s="48">
        <v>150</v>
      </c>
      <c r="J56" s="57">
        <f t="shared" si="0"/>
        <v>200</v>
      </c>
      <c r="K56" s="58">
        <f t="shared" si="1"/>
        <v>50</v>
      </c>
      <c r="L56" s="59" t="str">
        <f t="shared" si="2"/>
        <v>Feb</v>
      </c>
    </row>
    <row r="57" spans="1:12" x14ac:dyDescent="0.25">
      <c r="A57" s="3">
        <v>1056</v>
      </c>
      <c r="B57" s="4">
        <v>45713</v>
      </c>
      <c r="C57" s="3" t="s">
        <v>21</v>
      </c>
      <c r="D57" s="3" t="s">
        <v>22</v>
      </c>
      <c r="E57" s="3" t="s">
        <v>52</v>
      </c>
      <c r="F57" s="3" t="s">
        <v>24</v>
      </c>
      <c r="G57" s="3">
        <v>5</v>
      </c>
      <c r="H57" s="3">
        <v>320</v>
      </c>
      <c r="I57" s="49">
        <v>1200</v>
      </c>
      <c r="J57" s="54">
        <f t="shared" si="0"/>
        <v>1600</v>
      </c>
      <c r="K57" s="55">
        <f t="shared" si="1"/>
        <v>400</v>
      </c>
      <c r="L57" s="56" t="str">
        <f t="shared" si="2"/>
        <v>Feb</v>
      </c>
    </row>
    <row r="58" spans="1:12" ht="21.75" customHeight="1" x14ac:dyDescent="0.25">
      <c r="A58" s="1">
        <v>1057</v>
      </c>
      <c r="B58" s="2">
        <v>45714</v>
      </c>
      <c r="C58" s="1" t="s">
        <v>10</v>
      </c>
      <c r="D58" s="1" t="s">
        <v>11</v>
      </c>
      <c r="E58" s="1" t="s">
        <v>32</v>
      </c>
      <c r="F58" s="1" t="s">
        <v>13</v>
      </c>
      <c r="G58" s="1">
        <v>7</v>
      </c>
      <c r="H58" s="1">
        <v>210</v>
      </c>
      <c r="I58" s="48">
        <v>1100</v>
      </c>
      <c r="J58" s="57">
        <f t="shared" si="0"/>
        <v>1470</v>
      </c>
      <c r="K58" s="58">
        <f t="shared" si="1"/>
        <v>370</v>
      </c>
      <c r="L58" s="59" t="str">
        <f t="shared" si="2"/>
        <v>Feb</v>
      </c>
    </row>
    <row r="59" spans="1:12" x14ac:dyDescent="0.25">
      <c r="A59" s="3">
        <v>1058</v>
      </c>
      <c r="B59" s="4">
        <v>45715</v>
      </c>
      <c r="C59" s="3" t="s">
        <v>14</v>
      </c>
      <c r="D59" s="3" t="s">
        <v>15</v>
      </c>
      <c r="E59" s="3" t="s">
        <v>42</v>
      </c>
      <c r="F59" s="3" t="s">
        <v>13</v>
      </c>
      <c r="G59" s="3">
        <v>15</v>
      </c>
      <c r="H59" s="3">
        <v>100</v>
      </c>
      <c r="I59" s="49">
        <v>1100</v>
      </c>
      <c r="J59" s="54">
        <f t="shared" si="0"/>
        <v>1500</v>
      </c>
      <c r="K59" s="55">
        <f t="shared" si="1"/>
        <v>400</v>
      </c>
      <c r="L59" s="56" t="str">
        <f t="shared" si="2"/>
        <v>Feb</v>
      </c>
    </row>
    <row r="60" spans="1:12" ht="18" customHeight="1" x14ac:dyDescent="0.25">
      <c r="A60" s="1">
        <v>1059</v>
      </c>
      <c r="B60" s="2">
        <v>45716</v>
      </c>
      <c r="C60" s="1" t="s">
        <v>17</v>
      </c>
      <c r="D60" s="1" t="s">
        <v>18</v>
      </c>
      <c r="E60" s="1" t="s">
        <v>44</v>
      </c>
      <c r="F60" s="1" t="s">
        <v>20</v>
      </c>
      <c r="G60" s="1">
        <v>5</v>
      </c>
      <c r="H60" s="1">
        <v>160</v>
      </c>
      <c r="I60" s="48">
        <v>600</v>
      </c>
      <c r="J60" s="57">
        <f t="shared" si="0"/>
        <v>800</v>
      </c>
      <c r="K60" s="58">
        <f t="shared" si="1"/>
        <v>200</v>
      </c>
      <c r="L60" s="59" t="str">
        <f t="shared" si="2"/>
        <v>Feb</v>
      </c>
    </row>
    <row r="61" spans="1:12" ht="18" customHeight="1" x14ac:dyDescent="0.25">
      <c r="A61" s="3">
        <v>1060</v>
      </c>
      <c r="B61" s="4">
        <v>45717</v>
      </c>
      <c r="C61" s="3" t="s">
        <v>21</v>
      </c>
      <c r="D61" s="3" t="s">
        <v>22</v>
      </c>
      <c r="E61" s="3" t="s">
        <v>30</v>
      </c>
      <c r="F61" s="3" t="s">
        <v>24</v>
      </c>
      <c r="G61" s="3">
        <v>6</v>
      </c>
      <c r="H61" s="3">
        <v>230</v>
      </c>
      <c r="I61" s="49">
        <v>1030</v>
      </c>
      <c r="J61" s="54">
        <f t="shared" si="0"/>
        <v>1380</v>
      </c>
      <c r="K61" s="55">
        <f t="shared" si="1"/>
        <v>350</v>
      </c>
      <c r="L61" s="56" t="str">
        <f t="shared" si="2"/>
        <v>Mar</v>
      </c>
    </row>
    <row r="62" spans="1:12" x14ac:dyDescent="0.25">
      <c r="A62" s="1">
        <v>1061</v>
      </c>
      <c r="B62" s="2">
        <v>45718</v>
      </c>
      <c r="C62" s="1" t="s">
        <v>10</v>
      </c>
      <c r="D62" s="1" t="s">
        <v>11</v>
      </c>
      <c r="E62" s="1" t="s">
        <v>12</v>
      </c>
      <c r="F62" s="1" t="s">
        <v>13</v>
      </c>
      <c r="G62" s="1">
        <v>3</v>
      </c>
      <c r="H62" s="1">
        <v>900</v>
      </c>
      <c r="I62" s="48">
        <v>2100</v>
      </c>
      <c r="J62" s="57">
        <f t="shared" si="0"/>
        <v>2700</v>
      </c>
      <c r="K62" s="58">
        <f t="shared" si="1"/>
        <v>600</v>
      </c>
      <c r="L62" s="59" t="str">
        <f t="shared" si="2"/>
        <v>Mar</v>
      </c>
    </row>
    <row r="63" spans="1:12" x14ac:dyDescent="0.25">
      <c r="A63" s="3">
        <v>1062</v>
      </c>
      <c r="B63" s="4">
        <v>45719</v>
      </c>
      <c r="C63" s="3" t="s">
        <v>14</v>
      </c>
      <c r="D63" s="3" t="s">
        <v>15</v>
      </c>
      <c r="E63" s="3" t="s">
        <v>16</v>
      </c>
      <c r="F63" s="3" t="s">
        <v>13</v>
      </c>
      <c r="G63" s="3">
        <v>9</v>
      </c>
      <c r="H63" s="3">
        <v>550</v>
      </c>
      <c r="I63" s="49">
        <v>3900</v>
      </c>
      <c r="J63" s="54">
        <f t="shared" si="0"/>
        <v>4950</v>
      </c>
      <c r="K63" s="55">
        <f t="shared" si="1"/>
        <v>1050</v>
      </c>
      <c r="L63" s="56" t="str">
        <f t="shared" si="2"/>
        <v>Mar</v>
      </c>
    </row>
    <row r="64" spans="1:12" ht="16.5" customHeight="1" x14ac:dyDescent="0.25">
      <c r="A64" s="1">
        <v>1063</v>
      </c>
      <c r="B64" s="2">
        <v>45720</v>
      </c>
      <c r="C64" s="1" t="s">
        <v>17</v>
      </c>
      <c r="D64" s="1" t="s">
        <v>18</v>
      </c>
      <c r="E64" s="1" t="s">
        <v>19</v>
      </c>
      <c r="F64" s="1" t="s">
        <v>20</v>
      </c>
      <c r="G64" s="1">
        <v>5</v>
      </c>
      <c r="H64" s="1">
        <v>180</v>
      </c>
      <c r="I64" s="48">
        <v>670</v>
      </c>
      <c r="J64" s="57">
        <f t="shared" si="0"/>
        <v>900</v>
      </c>
      <c r="K64" s="58">
        <f t="shared" si="1"/>
        <v>230</v>
      </c>
      <c r="L64" s="59" t="str">
        <f t="shared" si="2"/>
        <v>Mar</v>
      </c>
    </row>
    <row r="65" spans="1:12" x14ac:dyDescent="0.25">
      <c r="A65" s="3">
        <v>1064</v>
      </c>
      <c r="B65" s="4">
        <v>45721</v>
      </c>
      <c r="C65" s="3" t="s">
        <v>21</v>
      </c>
      <c r="D65" s="3" t="s">
        <v>22</v>
      </c>
      <c r="E65" s="3" t="s">
        <v>54</v>
      </c>
      <c r="F65" s="3" t="s">
        <v>24</v>
      </c>
      <c r="G65" s="3">
        <v>2</v>
      </c>
      <c r="H65" s="3">
        <v>700</v>
      </c>
      <c r="I65" s="49">
        <v>1050</v>
      </c>
      <c r="J65" s="54">
        <f t="shared" si="0"/>
        <v>1400</v>
      </c>
      <c r="K65" s="55">
        <f t="shared" si="1"/>
        <v>350</v>
      </c>
      <c r="L65" s="56" t="str">
        <f t="shared" si="2"/>
        <v>Mar</v>
      </c>
    </row>
    <row r="66" spans="1:12" x14ac:dyDescent="0.25">
      <c r="A66" s="1">
        <v>1065</v>
      </c>
      <c r="B66" s="2">
        <v>45722</v>
      </c>
      <c r="C66" s="1" t="s">
        <v>10</v>
      </c>
      <c r="D66" s="1" t="s">
        <v>11</v>
      </c>
      <c r="E66" s="1" t="s">
        <v>26</v>
      </c>
      <c r="F66" s="1" t="s">
        <v>13</v>
      </c>
      <c r="G66" s="1">
        <v>6</v>
      </c>
      <c r="H66" s="1">
        <v>280</v>
      </c>
      <c r="I66" s="48">
        <v>1300</v>
      </c>
      <c r="J66" s="57">
        <f t="shared" si="0"/>
        <v>1680</v>
      </c>
      <c r="K66" s="58">
        <f t="shared" si="1"/>
        <v>380</v>
      </c>
      <c r="L66" s="59" t="str">
        <f t="shared" si="2"/>
        <v>Mar</v>
      </c>
    </row>
    <row r="67" spans="1:12" x14ac:dyDescent="0.25">
      <c r="A67" s="3">
        <v>1066</v>
      </c>
      <c r="B67" s="4">
        <v>45723</v>
      </c>
      <c r="C67" s="3" t="s">
        <v>14</v>
      </c>
      <c r="D67" s="3" t="s">
        <v>15</v>
      </c>
      <c r="E67" s="3" t="s">
        <v>25</v>
      </c>
      <c r="F67" s="3" t="s">
        <v>13</v>
      </c>
      <c r="G67" s="3">
        <v>10</v>
      </c>
      <c r="H67" s="3">
        <v>420</v>
      </c>
      <c r="I67" s="49">
        <v>3200</v>
      </c>
      <c r="J67" s="54">
        <f t="shared" ref="J67:J81" si="3">G67*H67</f>
        <v>4200</v>
      </c>
      <c r="K67" s="55">
        <f t="shared" ref="K67:K81" si="4">J67-I67</f>
        <v>1000</v>
      </c>
      <c r="L67" s="56" t="str">
        <f t="shared" ref="L67:L81" si="5">TEXT(B67,"mmm")</f>
        <v>Mar</v>
      </c>
    </row>
    <row r="68" spans="1:12" ht="15" customHeight="1" x14ac:dyDescent="0.25">
      <c r="A68" s="1">
        <v>1067</v>
      </c>
      <c r="B68" s="2">
        <v>45724</v>
      </c>
      <c r="C68" s="1" t="s">
        <v>17</v>
      </c>
      <c r="D68" s="1" t="s">
        <v>18</v>
      </c>
      <c r="E68" s="1" t="s">
        <v>39</v>
      </c>
      <c r="F68" s="1" t="s">
        <v>20</v>
      </c>
      <c r="G68" s="1">
        <v>35</v>
      </c>
      <c r="H68" s="1">
        <v>9</v>
      </c>
      <c r="I68" s="48">
        <v>230</v>
      </c>
      <c r="J68" s="57">
        <f t="shared" si="3"/>
        <v>315</v>
      </c>
      <c r="K68" s="58">
        <f t="shared" si="4"/>
        <v>85</v>
      </c>
      <c r="L68" s="59" t="str">
        <f t="shared" si="5"/>
        <v>Mar</v>
      </c>
    </row>
    <row r="69" spans="1:12" x14ac:dyDescent="0.25">
      <c r="A69" s="3">
        <v>1068</v>
      </c>
      <c r="B69" s="4">
        <v>45725</v>
      </c>
      <c r="C69" s="3" t="s">
        <v>21</v>
      </c>
      <c r="D69" s="3" t="s">
        <v>22</v>
      </c>
      <c r="E69" s="3" t="s">
        <v>35</v>
      </c>
      <c r="F69" s="3" t="s">
        <v>24</v>
      </c>
      <c r="G69" s="3">
        <v>1</v>
      </c>
      <c r="H69" s="3">
        <v>1500</v>
      </c>
      <c r="I69" s="49">
        <v>1150</v>
      </c>
      <c r="J69" s="54">
        <f t="shared" si="3"/>
        <v>1500</v>
      </c>
      <c r="K69" s="55">
        <f t="shared" si="4"/>
        <v>350</v>
      </c>
      <c r="L69" s="56" t="str">
        <f t="shared" si="5"/>
        <v>Mar</v>
      </c>
    </row>
    <row r="70" spans="1:12" x14ac:dyDescent="0.25">
      <c r="A70" s="1">
        <v>1069</v>
      </c>
      <c r="B70" s="2">
        <v>45726</v>
      </c>
      <c r="C70" s="1" t="s">
        <v>10</v>
      </c>
      <c r="D70" s="1" t="s">
        <v>11</v>
      </c>
      <c r="E70" s="1" t="s">
        <v>33</v>
      </c>
      <c r="F70" s="1" t="s">
        <v>13</v>
      </c>
      <c r="G70" s="1">
        <v>15</v>
      </c>
      <c r="H70" s="1">
        <v>95</v>
      </c>
      <c r="I70" s="48">
        <v>1050</v>
      </c>
      <c r="J70" s="57">
        <f t="shared" si="3"/>
        <v>1425</v>
      </c>
      <c r="K70" s="58">
        <f t="shared" si="4"/>
        <v>375</v>
      </c>
      <c r="L70" s="59" t="str">
        <f t="shared" si="5"/>
        <v>Mar</v>
      </c>
    </row>
    <row r="71" spans="1:12" x14ac:dyDescent="0.25">
      <c r="A71" s="3">
        <v>1070</v>
      </c>
      <c r="B71" s="4">
        <v>45727</v>
      </c>
      <c r="C71" s="3" t="s">
        <v>14</v>
      </c>
      <c r="D71" s="3" t="s">
        <v>15</v>
      </c>
      <c r="E71" s="3" t="s">
        <v>41</v>
      </c>
      <c r="F71" s="3" t="s">
        <v>13</v>
      </c>
      <c r="G71" s="3">
        <v>2</v>
      </c>
      <c r="H71" s="3">
        <v>1000</v>
      </c>
      <c r="I71" s="49">
        <v>1550</v>
      </c>
      <c r="J71" s="54">
        <f t="shared" si="3"/>
        <v>2000</v>
      </c>
      <c r="K71" s="55">
        <f t="shared" si="4"/>
        <v>450</v>
      </c>
      <c r="L71" s="56" t="str">
        <f t="shared" si="5"/>
        <v>Mar</v>
      </c>
    </row>
    <row r="72" spans="1:12" ht="14.25" customHeight="1" x14ac:dyDescent="0.25">
      <c r="A72" s="1">
        <v>1071</v>
      </c>
      <c r="B72" s="2">
        <v>45728</v>
      </c>
      <c r="C72" s="1" t="s">
        <v>17</v>
      </c>
      <c r="D72" s="1" t="s">
        <v>18</v>
      </c>
      <c r="E72" s="1" t="s">
        <v>43</v>
      </c>
      <c r="F72" s="1" t="s">
        <v>20</v>
      </c>
      <c r="G72" s="1">
        <v>25</v>
      </c>
      <c r="H72" s="1">
        <v>12</v>
      </c>
      <c r="I72" s="48">
        <v>220</v>
      </c>
      <c r="J72" s="57">
        <f t="shared" si="3"/>
        <v>300</v>
      </c>
      <c r="K72" s="58">
        <f t="shared" si="4"/>
        <v>80</v>
      </c>
      <c r="L72" s="59" t="str">
        <f t="shared" si="5"/>
        <v>Mar</v>
      </c>
    </row>
    <row r="73" spans="1:12" x14ac:dyDescent="0.25">
      <c r="A73" s="3">
        <v>1072</v>
      </c>
      <c r="B73" s="4">
        <v>45729</v>
      </c>
      <c r="C73" s="3" t="s">
        <v>21</v>
      </c>
      <c r="D73" s="3" t="s">
        <v>22</v>
      </c>
      <c r="E73" s="3" t="s">
        <v>34</v>
      </c>
      <c r="F73" s="3" t="s">
        <v>24</v>
      </c>
      <c r="G73" s="3">
        <v>4</v>
      </c>
      <c r="H73" s="3">
        <v>600</v>
      </c>
      <c r="I73" s="49">
        <v>1800</v>
      </c>
      <c r="J73" s="54">
        <f t="shared" si="3"/>
        <v>2400</v>
      </c>
      <c r="K73" s="55">
        <f t="shared" si="4"/>
        <v>600</v>
      </c>
      <c r="L73" s="56" t="str">
        <f t="shared" si="5"/>
        <v>Mar</v>
      </c>
    </row>
    <row r="74" spans="1:12" x14ac:dyDescent="0.25">
      <c r="A74" s="1">
        <v>1073</v>
      </c>
      <c r="B74" s="2">
        <v>45730</v>
      </c>
      <c r="C74" s="1" t="s">
        <v>10</v>
      </c>
      <c r="D74" s="1" t="s">
        <v>11</v>
      </c>
      <c r="E74" s="1" t="s">
        <v>45</v>
      </c>
      <c r="F74" s="1" t="s">
        <v>13</v>
      </c>
      <c r="G74" s="1">
        <v>1</v>
      </c>
      <c r="H74" s="1">
        <v>1200</v>
      </c>
      <c r="I74" s="48">
        <v>900</v>
      </c>
      <c r="J74" s="57">
        <f t="shared" si="3"/>
        <v>1200</v>
      </c>
      <c r="K74" s="58">
        <f t="shared" si="4"/>
        <v>300</v>
      </c>
      <c r="L74" s="59" t="str">
        <f t="shared" si="5"/>
        <v>Mar</v>
      </c>
    </row>
    <row r="75" spans="1:12" x14ac:dyDescent="0.25">
      <c r="A75" s="3">
        <v>1074</v>
      </c>
      <c r="B75" s="4">
        <v>45731</v>
      </c>
      <c r="C75" s="3" t="s">
        <v>14</v>
      </c>
      <c r="D75" s="3" t="s">
        <v>15</v>
      </c>
      <c r="E75" s="3" t="s">
        <v>46</v>
      </c>
      <c r="F75" s="3" t="s">
        <v>13</v>
      </c>
      <c r="G75" s="3">
        <v>2</v>
      </c>
      <c r="H75" s="3">
        <v>1700</v>
      </c>
      <c r="I75" s="49">
        <v>2600</v>
      </c>
      <c r="J75" s="54">
        <f t="shared" si="3"/>
        <v>3400</v>
      </c>
      <c r="K75" s="55">
        <f t="shared" si="4"/>
        <v>800</v>
      </c>
      <c r="L75" s="56" t="str">
        <f t="shared" si="5"/>
        <v>Mar</v>
      </c>
    </row>
    <row r="76" spans="1:12" x14ac:dyDescent="0.25">
      <c r="A76" s="1">
        <v>1075</v>
      </c>
      <c r="B76" s="2">
        <v>45732</v>
      </c>
      <c r="C76" s="1" t="s">
        <v>17</v>
      </c>
      <c r="D76" s="1" t="s">
        <v>18</v>
      </c>
      <c r="E76" s="1" t="s">
        <v>47</v>
      </c>
      <c r="F76" s="1" t="s">
        <v>24</v>
      </c>
      <c r="G76" s="1">
        <v>3</v>
      </c>
      <c r="H76" s="1">
        <v>450</v>
      </c>
      <c r="I76" s="48">
        <v>1000</v>
      </c>
      <c r="J76" s="57">
        <f t="shared" si="3"/>
        <v>1350</v>
      </c>
      <c r="K76" s="58">
        <f t="shared" si="4"/>
        <v>350</v>
      </c>
      <c r="L76" s="59" t="str">
        <f t="shared" si="5"/>
        <v>Mar</v>
      </c>
    </row>
    <row r="77" spans="1:12" x14ac:dyDescent="0.25">
      <c r="A77" s="3">
        <v>1076</v>
      </c>
      <c r="B77" s="4">
        <v>45733</v>
      </c>
      <c r="C77" s="3" t="s">
        <v>21</v>
      </c>
      <c r="D77" s="3" t="s">
        <v>22</v>
      </c>
      <c r="E77" s="3" t="s">
        <v>36</v>
      </c>
      <c r="F77" s="3" t="s">
        <v>24</v>
      </c>
      <c r="G77" s="3">
        <v>20</v>
      </c>
      <c r="H77" s="3">
        <v>50</v>
      </c>
      <c r="I77" s="49">
        <v>750</v>
      </c>
      <c r="J77" s="54">
        <f t="shared" si="3"/>
        <v>1000</v>
      </c>
      <c r="K77" s="55">
        <f t="shared" si="4"/>
        <v>250</v>
      </c>
      <c r="L77" s="56" t="str">
        <f t="shared" si="5"/>
        <v>Mar</v>
      </c>
    </row>
    <row r="78" spans="1:12" x14ac:dyDescent="0.25">
      <c r="A78" s="1">
        <v>1077</v>
      </c>
      <c r="B78" s="2">
        <v>45734</v>
      </c>
      <c r="C78" s="1" t="s">
        <v>10</v>
      </c>
      <c r="D78" s="1" t="s">
        <v>11</v>
      </c>
      <c r="E78" s="1" t="s">
        <v>37</v>
      </c>
      <c r="F78" s="1" t="s">
        <v>13</v>
      </c>
      <c r="G78" s="1">
        <v>30</v>
      </c>
      <c r="H78" s="1">
        <v>22</v>
      </c>
      <c r="I78" s="48">
        <v>480</v>
      </c>
      <c r="J78" s="57">
        <f t="shared" si="3"/>
        <v>660</v>
      </c>
      <c r="K78" s="58">
        <f t="shared" si="4"/>
        <v>180</v>
      </c>
      <c r="L78" s="59" t="str">
        <f t="shared" si="5"/>
        <v>Mar</v>
      </c>
    </row>
    <row r="79" spans="1:12" x14ac:dyDescent="0.25">
      <c r="A79" s="3">
        <v>1078</v>
      </c>
      <c r="B79" s="4">
        <v>45735</v>
      </c>
      <c r="C79" s="3" t="s">
        <v>14</v>
      </c>
      <c r="D79" s="3" t="s">
        <v>15</v>
      </c>
      <c r="E79" s="3" t="s">
        <v>49</v>
      </c>
      <c r="F79" s="3" t="s">
        <v>13</v>
      </c>
      <c r="G79" s="3">
        <v>8</v>
      </c>
      <c r="H79" s="3">
        <v>160</v>
      </c>
      <c r="I79" s="49">
        <v>950</v>
      </c>
      <c r="J79" s="54">
        <f t="shared" si="3"/>
        <v>1280</v>
      </c>
      <c r="K79" s="55">
        <f t="shared" si="4"/>
        <v>330</v>
      </c>
      <c r="L79" s="56" t="str">
        <f t="shared" si="5"/>
        <v>Mar</v>
      </c>
    </row>
    <row r="80" spans="1:12" ht="16.5" customHeight="1" x14ac:dyDescent="0.25">
      <c r="A80" s="1">
        <v>1079</v>
      </c>
      <c r="B80" s="2">
        <v>45736</v>
      </c>
      <c r="C80" s="1" t="s">
        <v>17</v>
      </c>
      <c r="D80" s="1" t="s">
        <v>18</v>
      </c>
      <c r="E80" s="1" t="s">
        <v>44</v>
      </c>
      <c r="F80" s="1" t="s">
        <v>20</v>
      </c>
      <c r="G80" s="1">
        <v>6</v>
      </c>
      <c r="H80" s="1">
        <v>150</v>
      </c>
      <c r="I80" s="48">
        <v>680</v>
      </c>
      <c r="J80" s="57">
        <f t="shared" si="3"/>
        <v>900</v>
      </c>
      <c r="K80" s="58">
        <f t="shared" si="4"/>
        <v>220</v>
      </c>
      <c r="L80" s="59" t="str">
        <f t="shared" si="5"/>
        <v>Mar</v>
      </c>
    </row>
    <row r="81" spans="1:12" ht="17.25" customHeight="1" x14ac:dyDescent="0.25">
      <c r="A81" s="3">
        <v>1080</v>
      </c>
      <c r="B81" s="4">
        <v>45737</v>
      </c>
      <c r="C81" s="3" t="s">
        <v>21</v>
      </c>
      <c r="D81" s="3" t="s">
        <v>22</v>
      </c>
      <c r="E81" s="3" t="s">
        <v>30</v>
      </c>
      <c r="F81" s="3" t="s">
        <v>24</v>
      </c>
      <c r="G81" s="3">
        <v>5</v>
      </c>
      <c r="H81" s="3">
        <v>250</v>
      </c>
      <c r="I81" s="49">
        <v>950</v>
      </c>
      <c r="J81" s="54">
        <f t="shared" si="3"/>
        <v>1250</v>
      </c>
      <c r="K81" s="55">
        <f t="shared" si="4"/>
        <v>300</v>
      </c>
      <c r="L81" s="56" t="str">
        <f t="shared" si="5"/>
        <v>Mar</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2AB27-7022-4C2C-B797-A01FD6ED5425}">
  <dimension ref="B1:J35"/>
  <sheetViews>
    <sheetView workbookViewId="0">
      <selection activeCell="F16" sqref="F16"/>
    </sheetView>
  </sheetViews>
  <sheetFormatPr defaultRowHeight="15" x14ac:dyDescent="0.25"/>
  <cols>
    <col min="2" max="2" width="16" customWidth="1"/>
    <col min="3" max="3" width="17.42578125" customWidth="1"/>
    <col min="4" max="4" width="17.28515625" customWidth="1"/>
    <col min="5" max="5" width="15.7109375" customWidth="1"/>
    <col min="6" max="6" width="21.5703125" customWidth="1"/>
    <col min="7" max="7" width="17.140625" customWidth="1"/>
    <col min="9" max="9" width="19.140625" customWidth="1"/>
    <col min="10" max="10" width="17.85546875" customWidth="1"/>
  </cols>
  <sheetData>
    <row r="1" spans="2:10" x14ac:dyDescent="0.25">
      <c r="B1" s="13" t="s">
        <v>56</v>
      </c>
      <c r="C1" s="13" t="s">
        <v>57</v>
      </c>
      <c r="D1" s="13" t="s">
        <v>58</v>
      </c>
      <c r="E1" s="13" t="s">
        <v>59</v>
      </c>
      <c r="F1" s="13" t="s">
        <v>60</v>
      </c>
      <c r="G1" s="14" t="s">
        <v>61</v>
      </c>
      <c r="I1" s="17" t="s">
        <v>62</v>
      </c>
      <c r="J1" s="18" t="s">
        <v>63</v>
      </c>
    </row>
    <row r="2" spans="2:10" ht="15.75" x14ac:dyDescent="0.25">
      <c r="B2" s="29">
        <f>SUM(Data!J2:J81)</f>
        <v>127930</v>
      </c>
      <c r="C2" s="29">
        <f>SUM(Data!K2:K81)</f>
        <v>31220</v>
      </c>
      <c r="D2" s="30">
        <f>SUM(Data!K2:K81)/SUM(Data!I2:I81)</f>
        <v>0.3228208044669631</v>
      </c>
      <c r="E2" s="29">
        <f>SUM(Data!G2:G81)</f>
        <v>776</v>
      </c>
      <c r="F2" s="31">
        <f>SUMIFS(Data!J:J, Data!C:C, "North")</f>
        <v>36665</v>
      </c>
      <c r="G2" s="32">
        <f>SUMIFS(Data!J:J, Data!C:C, C5)</f>
        <v>36665</v>
      </c>
      <c r="I2" s="19" t="str" cm="1">
        <f t="array" ref="I2:I35">_xlfn.UNIQUE(Data!E2:E81)</f>
        <v>Laptop</v>
      </c>
      <c r="J2" s="20">
        <f>SUMIFS(Data!J2:J81, Data!E2:E81, I2)</f>
        <v>10100</v>
      </c>
    </row>
    <row r="3" spans="2:10" x14ac:dyDescent="0.25">
      <c r="I3" s="19" t="str">
        <v>Mobile</v>
      </c>
      <c r="J3" s="20">
        <f>SUMIFS(Data!J3:J82, Data!E3:E82, I3)</f>
        <v>8950</v>
      </c>
    </row>
    <row r="4" spans="2:10" x14ac:dyDescent="0.25">
      <c r="B4" s="23" t="s">
        <v>65</v>
      </c>
      <c r="I4" s="19" t="str">
        <v>Printer</v>
      </c>
      <c r="J4" s="20">
        <f>SUMIFS(Data!J4:J83, Data!E4:E83, I4)</f>
        <v>2600</v>
      </c>
    </row>
    <row r="5" spans="2:10" x14ac:dyDescent="0.25">
      <c r="B5" s="33" t="str" cm="1">
        <f t="array" ref="B5:B8">_xlfn.UNIQUE(Data!C2:C81)</f>
        <v>North</v>
      </c>
      <c r="C5" t="s">
        <v>10</v>
      </c>
      <c r="D5" s="21" t="s">
        <v>64</v>
      </c>
      <c r="F5" s="63" t="s">
        <v>66</v>
      </c>
      <c r="G5" s="64"/>
      <c r="I5" s="19" t="str">
        <v>Desk Chair</v>
      </c>
      <c r="J5" s="20">
        <f>SUMIFS(Data!J5:J84, Data!E5:E84, I5)</f>
        <v>2320</v>
      </c>
    </row>
    <row r="6" spans="2:10" x14ac:dyDescent="0.25">
      <c r="B6" s="34" t="str">
        <v>South</v>
      </c>
      <c r="D6" s="22">
        <f>MAX(J2:J35)</f>
        <v>10100</v>
      </c>
      <c r="F6" s="15" t="str" cm="1">
        <f t="array" ref="F6:G6">_xlfn.XLOOKUP(D6,J2:J35,I2:J35)</f>
        <v>Laptop</v>
      </c>
      <c r="G6" s="16">
        <v>10100</v>
      </c>
      <c r="I6" s="19" t="str">
        <v>Tablet</v>
      </c>
      <c r="J6" s="20">
        <f>SUMIFS(Data!J6:J85, Data!E6:E85, I6)</f>
        <v>10040</v>
      </c>
    </row>
    <row r="7" spans="2:10" x14ac:dyDescent="0.25">
      <c r="B7" s="33" t="str">
        <v>East</v>
      </c>
      <c r="I7" s="19" t="str">
        <v>Monitor</v>
      </c>
      <c r="J7" s="20">
        <f>SUMIFS(Data!J7:J86, Data!E7:E86, I7)</f>
        <v>5430</v>
      </c>
    </row>
    <row r="8" spans="2:10" x14ac:dyDescent="0.25">
      <c r="B8" s="35" t="str">
        <v>West</v>
      </c>
      <c r="I8" s="19" t="str">
        <v>Keyboard</v>
      </c>
      <c r="J8" s="20">
        <f>SUMIFS(Data!J8:J87, Data!E8:E87, I8)</f>
        <v>1370</v>
      </c>
    </row>
    <row r="9" spans="2:10" ht="15.75" thickBot="1" x14ac:dyDescent="0.3">
      <c r="D9" s="36" t="s">
        <v>69</v>
      </c>
      <c r="E9" s="37" t="s">
        <v>68</v>
      </c>
      <c r="F9" s="37" t="s">
        <v>70</v>
      </c>
      <c r="I9" s="19" t="str">
        <v>Office Desk</v>
      </c>
      <c r="J9" s="20">
        <f>SUMIFS(Data!J9:J88, Data!E9:E88, I9)</f>
        <v>1800</v>
      </c>
    </row>
    <row r="10" spans="2:10" ht="15.75" thickTop="1" x14ac:dyDescent="0.25">
      <c r="D10" s="38" t="str" cm="1">
        <f t="array" ref="D10:D12">_xlfn.UNIQUE(Data!L2:L81)</f>
        <v>Jan</v>
      </c>
      <c r="E10" s="39">
        <f>SUMIFS(Data!I:I, Data!L:L, D10)</f>
        <v>36250</v>
      </c>
      <c r="F10" s="40">
        <f>(E10-E11)/E10</f>
        <v>9.2413793103448272E-2</v>
      </c>
      <c r="I10" s="19" t="str">
        <v>Headphones</v>
      </c>
      <c r="J10" s="20">
        <f>SUMIFS(Data!J10:J89, Data!E10:E89, I10)</f>
        <v>960</v>
      </c>
    </row>
    <row r="11" spans="2:10" x14ac:dyDescent="0.25">
      <c r="D11" s="41" t="str">
        <v>Feb</v>
      </c>
      <c r="E11" s="42">
        <f>SUMIFS(Data!I:I, Data!L:L, D11)</f>
        <v>32900</v>
      </c>
      <c r="F11" s="43">
        <f>(E11-E12)/E11</f>
        <v>0.16231003039513678</v>
      </c>
      <c r="I11" s="19" t="str">
        <v>Bookshelf</v>
      </c>
      <c r="J11" s="20">
        <f>SUMIFS(Data!J11:J90, Data!E11:E90, I11)</f>
        <v>3430</v>
      </c>
    </row>
    <row r="12" spans="2:10" x14ac:dyDescent="0.25">
      <c r="D12" s="44" t="str">
        <v>Mar</v>
      </c>
      <c r="E12" s="45">
        <f>SUMIFS(Data!I:I, Data!L:L, D12)</f>
        <v>27560</v>
      </c>
      <c r="F12" s="46">
        <f>(E12-C14)/E12</f>
        <v>1</v>
      </c>
      <c r="I12" s="19" t="str">
        <v>Scanner</v>
      </c>
      <c r="J12" s="20">
        <f>SUMIFS(Data!J12:J91, Data!E12:E91, I12)</f>
        <v>1500</v>
      </c>
    </row>
    <row r="13" spans="2:10" x14ac:dyDescent="0.25">
      <c r="I13" s="19" t="str">
        <v>Smartwatch</v>
      </c>
      <c r="J13" s="20">
        <f>SUMIFS(Data!J13:J92, Data!E13:E92, I13)</f>
        <v>2790</v>
      </c>
    </row>
    <row r="14" spans="2:10" x14ac:dyDescent="0.25">
      <c r="I14" s="19" t="str">
        <v>Router</v>
      </c>
      <c r="J14" s="20">
        <f>SUMIFS(Data!J14:J93, Data!E14:E93, I14)</f>
        <v>3345</v>
      </c>
    </row>
    <row r="15" spans="2:10" x14ac:dyDescent="0.25">
      <c r="I15" s="19" t="str">
        <v>Cabinet</v>
      </c>
      <c r="J15" s="20">
        <f>SUMIFS(Data!J15:J94, Data!E15:E94, I15)</f>
        <v>4950</v>
      </c>
    </row>
    <row r="16" spans="2:10" x14ac:dyDescent="0.25">
      <c r="I16" s="19" t="str">
        <v>Sofa</v>
      </c>
      <c r="J16" s="20">
        <f>SUMIFS(Data!J16:J95, Data!E16:E95, I16)</f>
        <v>6500</v>
      </c>
    </row>
    <row r="17" spans="9:10" x14ac:dyDescent="0.25">
      <c r="I17" s="19" t="str">
        <v>Lamp</v>
      </c>
      <c r="J17" s="20">
        <f>SUMIFS(Data!J17:J96, Data!E17:E96, I17)</f>
        <v>2830</v>
      </c>
    </row>
    <row r="18" spans="9:10" x14ac:dyDescent="0.25">
      <c r="I18" s="19" t="str">
        <v>Mouse</v>
      </c>
      <c r="J18" s="20">
        <f>SUMIFS(Data!J18:J97, Data!E18:E97, I18)</f>
        <v>1660</v>
      </c>
    </row>
    <row r="19" spans="9:10" x14ac:dyDescent="0.25">
      <c r="I19" s="19" t="str">
        <v>Projector</v>
      </c>
      <c r="J19" s="20">
        <f>SUMIFS(Data!J19:J98, Data!E19:E98, I19)</f>
        <v>3600</v>
      </c>
    </row>
    <row r="20" spans="9:10" x14ac:dyDescent="0.25">
      <c r="I20" s="19" t="str">
        <v>Notebook</v>
      </c>
      <c r="J20" s="20">
        <f>SUMIFS(Data!J20:J99, Data!E20:E99, I20)</f>
        <v>885</v>
      </c>
    </row>
    <row r="21" spans="9:10" x14ac:dyDescent="0.25">
      <c r="I21" s="19" t="str">
        <v>Cupboard</v>
      </c>
      <c r="J21" s="20">
        <f>SUMIFS(Data!J21:J100, Data!E21:E100, I21)</f>
        <v>1500</v>
      </c>
    </row>
    <row r="22" spans="9:10" x14ac:dyDescent="0.25">
      <c r="I22" s="19" t="str">
        <v>Camera</v>
      </c>
      <c r="J22" s="20">
        <f>SUMIFS(Data!J22:J101, Data!E22:E101, I22)</f>
        <v>8450</v>
      </c>
    </row>
    <row r="23" spans="9:10" x14ac:dyDescent="0.25">
      <c r="I23" s="19" t="str">
        <v>Fan</v>
      </c>
      <c r="J23" s="20">
        <f>SUMIFS(Data!J23:J102, Data!E23:E102, I23)</f>
        <v>2700</v>
      </c>
    </row>
    <row r="24" spans="9:10" x14ac:dyDescent="0.25">
      <c r="I24" s="19" t="str">
        <v>Stapler</v>
      </c>
      <c r="J24" s="20">
        <f>SUMIFS(Data!J24:J103, Data!E24:E103, I24)</f>
        <v>930</v>
      </c>
    </row>
    <row r="25" spans="9:10" x14ac:dyDescent="0.25">
      <c r="I25" s="19" t="str">
        <v>Whiteboard</v>
      </c>
      <c r="J25" s="20">
        <f>SUMIFS(Data!J25:J104, Data!E25:E104, I25)</f>
        <v>2540</v>
      </c>
    </row>
    <row r="26" spans="9:10" x14ac:dyDescent="0.25">
      <c r="I26" s="19" t="str">
        <v>TV</v>
      </c>
      <c r="J26" s="20">
        <f>SUMIFS(Data!J26:J105, Data!E26:E105, I26)</f>
        <v>6400</v>
      </c>
    </row>
    <row r="27" spans="9:10" x14ac:dyDescent="0.25">
      <c r="I27" s="19" t="str">
        <v>AC</v>
      </c>
      <c r="J27" s="20">
        <f>SUMIFS(Data!J27:J106, Data!E27:E106, I27)</f>
        <v>8200</v>
      </c>
    </row>
    <row r="28" spans="9:10" x14ac:dyDescent="0.25">
      <c r="I28" s="19" t="str">
        <v>Table</v>
      </c>
      <c r="J28" s="20">
        <f>SUMIFS(Data!J28:J107, Data!E28:E107, I28)</f>
        <v>4700</v>
      </c>
    </row>
    <row r="29" spans="9:10" x14ac:dyDescent="0.25">
      <c r="I29" s="19" t="str">
        <v>Chair</v>
      </c>
      <c r="J29" s="20">
        <f>SUMIFS(Data!J29:J108, Data!E29:E108, I29)</f>
        <v>1080</v>
      </c>
    </row>
    <row r="30" spans="9:10" x14ac:dyDescent="0.25">
      <c r="I30" s="19" t="str">
        <v>Speaker</v>
      </c>
      <c r="J30" s="20">
        <f>SUMIFS(Data!J30:J109, Data!E30:E109, I30)</f>
        <v>3630</v>
      </c>
    </row>
    <row r="31" spans="9:10" x14ac:dyDescent="0.25">
      <c r="I31" s="19" t="str">
        <v>Hard Drive</v>
      </c>
      <c r="J31" s="20">
        <f>SUMIFS(Data!J31:J110, Data!E31:E110, I31)</f>
        <v>2040</v>
      </c>
    </row>
    <row r="32" spans="9:10" x14ac:dyDescent="0.25">
      <c r="I32" s="19" t="str">
        <v>Pen Pack</v>
      </c>
      <c r="J32" s="20">
        <f>SUMIFS(Data!J32:J111, Data!E32:E111, I32)</f>
        <v>350</v>
      </c>
    </row>
    <row r="33" spans="9:10" x14ac:dyDescent="0.25">
      <c r="I33" s="19" t="str">
        <v>Drawer</v>
      </c>
      <c r="J33" s="20">
        <f>SUMIFS(Data!J33:J112, Data!E33:E112, I33)</f>
        <v>2800</v>
      </c>
    </row>
    <row r="34" spans="9:10" x14ac:dyDescent="0.25">
      <c r="I34" s="19" t="str">
        <v>Smartphone</v>
      </c>
      <c r="J34" s="20">
        <f>SUMIFS(Data!J34:J113, Data!E34:E113, I34)</f>
        <v>4200</v>
      </c>
    </row>
    <row r="35" spans="9:10" x14ac:dyDescent="0.25">
      <c r="I35" s="15" t="str">
        <v>Desk</v>
      </c>
      <c r="J35" s="16">
        <f>SUMIFS(Data!J35:J114, Data!E35:E114, I35)</f>
        <v>3350</v>
      </c>
    </row>
  </sheetData>
  <mergeCells count="1">
    <mergeCell ref="F5:G5"/>
  </mergeCells>
  <dataValidations count="1">
    <dataValidation type="list" allowBlank="1" showInputMessage="1" showErrorMessage="1" sqref="C5" xr:uid="{6E301253-1EC4-4C18-BFFB-6B6771E3F146}">
      <formula1>$B$5:$B$8</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5A5B6-4033-43FB-A50C-665A58799FBB}">
  <dimension ref="A1:T34"/>
  <sheetViews>
    <sheetView showGridLines="0" tabSelected="1" zoomScaleNormal="100" workbookViewId="0">
      <selection activeCell="R14" sqref="R14"/>
    </sheetView>
  </sheetViews>
  <sheetFormatPr defaultRowHeight="15" x14ac:dyDescent="0.25"/>
  <sheetData>
    <row r="1" spans="1:20" ht="23.25" customHeight="1" x14ac:dyDescent="0.25">
      <c r="A1" s="62" t="s">
        <v>80</v>
      </c>
      <c r="B1" s="62"/>
      <c r="C1" s="62"/>
      <c r="D1" s="62"/>
      <c r="E1" s="62"/>
      <c r="F1" s="62"/>
      <c r="G1" s="62"/>
      <c r="H1" s="62"/>
      <c r="I1" s="62"/>
      <c r="J1" s="62"/>
      <c r="K1" s="62"/>
      <c r="L1" s="62"/>
      <c r="M1" s="62"/>
      <c r="N1" s="62"/>
      <c r="O1" s="62"/>
      <c r="P1" s="62"/>
      <c r="Q1" s="62"/>
      <c r="R1" s="61"/>
      <c r="S1" s="61"/>
      <c r="T1" s="61"/>
    </row>
    <row r="2" spans="1:20" x14ac:dyDescent="0.25">
      <c r="A2" s="60"/>
      <c r="B2" s="60"/>
      <c r="C2" s="60"/>
      <c r="D2" s="60"/>
      <c r="E2" s="60"/>
      <c r="F2" s="60"/>
      <c r="G2" s="60"/>
      <c r="H2" s="60"/>
      <c r="I2" s="60"/>
      <c r="J2" s="60"/>
      <c r="K2" s="60"/>
      <c r="L2" s="60"/>
      <c r="M2" s="60"/>
      <c r="N2" s="60"/>
      <c r="O2" s="60"/>
      <c r="P2" s="60"/>
      <c r="Q2" s="60"/>
      <c r="R2" s="60"/>
      <c r="S2" s="60"/>
      <c r="T2" s="60"/>
    </row>
    <row r="3" spans="1:20" x14ac:dyDescent="0.25">
      <c r="A3" s="60"/>
      <c r="B3" s="60"/>
      <c r="C3" s="60"/>
      <c r="D3" s="60"/>
      <c r="E3" s="60"/>
      <c r="F3" s="60"/>
      <c r="G3" s="60"/>
      <c r="H3" s="60"/>
      <c r="I3" s="60"/>
      <c r="J3" s="60"/>
      <c r="K3" s="60"/>
      <c r="L3" s="60"/>
      <c r="M3" s="60"/>
      <c r="N3" s="60"/>
      <c r="O3" s="60"/>
      <c r="P3" s="60"/>
      <c r="Q3" s="60"/>
      <c r="R3" s="60"/>
      <c r="S3" s="60"/>
      <c r="T3" s="60"/>
    </row>
    <row r="4" spans="1:20" x14ac:dyDescent="0.25">
      <c r="A4" s="60"/>
      <c r="B4" s="60"/>
      <c r="C4" s="60"/>
      <c r="D4" s="60"/>
      <c r="E4" s="60"/>
      <c r="F4" s="60"/>
      <c r="G4" s="60"/>
      <c r="H4" s="60"/>
      <c r="I4" s="60"/>
      <c r="J4" s="60"/>
      <c r="K4" s="60"/>
      <c r="L4" s="60"/>
      <c r="M4" s="60"/>
      <c r="N4" s="60"/>
      <c r="O4" s="60"/>
      <c r="P4" s="60"/>
      <c r="Q4" s="60"/>
      <c r="R4" s="60"/>
      <c r="S4" s="60"/>
      <c r="T4" s="60"/>
    </row>
    <row r="5" spans="1:20" x14ac:dyDescent="0.25">
      <c r="A5" s="60"/>
      <c r="B5" s="60"/>
      <c r="C5" s="60"/>
      <c r="D5" s="60"/>
      <c r="E5" s="60"/>
      <c r="F5" s="60"/>
      <c r="G5" s="60"/>
      <c r="H5" s="60"/>
      <c r="I5" s="60"/>
      <c r="J5" s="60"/>
      <c r="K5" s="60"/>
      <c r="L5" s="60"/>
      <c r="M5" s="60"/>
      <c r="N5" s="60"/>
      <c r="O5" s="60"/>
      <c r="P5" s="60"/>
      <c r="Q5" s="60"/>
      <c r="R5" s="60"/>
      <c r="S5" s="60"/>
      <c r="T5" s="60"/>
    </row>
    <row r="6" spans="1:20" x14ac:dyDescent="0.25">
      <c r="A6" s="60"/>
      <c r="B6" s="60"/>
      <c r="C6" s="60"/>
      <c r="D6" s="60"/>
      <c r="E6" s="60"/>
      <c r="F6" s="60"/>
      <c r="G6" s="60"/>
      <c r="H6" s="60"/>
      <c r="I6" s="60"/>
      <c r="J6" s="60"/>
      <c r="K6" s="60"/>
      <c r="L6" s="60"/>
      <c r="M6" s="60"/>
      <c r="N6" s="60"/>
      <c r="O6" s="60"/>
      <c r="P6" s="60"/>
      <c r="Q6" s="60"/>
      <c r="R6" s="60"/>
      <c r="S6" s="60"/>
      <c r="T6" s="60"/>
    </row>
    <row r="7" spans="1:20" x14ac:dyDescent="0.25">
      <c r="A7" s="60"/>
      <c r="B7" s="60"/>
      <c r="C7" s="60"/>
      <c r="D7" s="60"/>
      <c r="E7" s="60"/>
      <c r="F7" s="60"/>
      <c r="G7" s="60"/>
      <c r="H7" s="60"/>
      <c r="I7" s="60"/>
      <c r="J7" s="60"/>
      <c r="K7" s="60"/>
      <c r="L7" s="60"/>
      <c r="M7" s="60"/>
      <c r="N7" s="60"/>
      <c r="O7" s="60"/>
      <c r="P7" s="60"/>
      <c r="Q7" s="60"/>
      <c r="R7" s="60"/>
      <c r="S7" s="60"/>
      <c r="T7" s="60"/>
    </row>
    <row r="8" spans="1:20" x14ac:dyDescent="0.25">
      <c r="A8" s="60"/>
      <c r="B8" s="60"/>
      <c r="C8" s="60"/>
      <c r="D8" s="60"/>
      <c r="E8" s="60"/>
      <c r="F8" s="60"/>
      <c r="G8" s="60"/>
      <c r="H8" s="60"/>
      <c r="I8" s="60"/>
      <c r="J8" s="60"/>
      <c r="K8" s="60"/>
      <c r="L8" s="60"/>
      <c r="M8" s="60"/>
      <c r="N8" s="60"/>
      <c r="O8" s="60"/>
      <c r="P8" s="60"/>
      <c r="Q8" s="60"/>
      <c r="R8" s="60"/>
      <c r="S8" s="60"/>
      <c r="T8" s="60"/>
    </row>
    <row r="9" spans="1:20" x14ac:dyDescent="0.25">
      <c r="A9" s="60"/>
      <c r="B9" s="60"/>
      <c r="C9" s="60"/>
      <c r="D9" s="60"/>
      <c r="E9" s="60"/>
      <c r="F9" s="60"/>
      <c r="G9" s="60"/>
      <c r="H9" s="60"/>
      <c r="I9" s="60"/>
      <c r="J9" s="60"/>
      <c r="K9" s="60"/>
      <c r="L9" s="60"/>
      <c r="M9" s="60"/>
      <c r="N9" s="60"/>
      <c r="O9" s="60"/>
      <c r="P9" s="60"/>
      <c r="Q9" s="60"/>
      <c r="R9" s="60"/>
      <c r="S9" s="60"/>
      <c r="T9" s="60"/>
    </row>
    <row r="10" spans="1:20" x14ac:dyDescent="0.25">
      <c r="A10" s="60"/>
      <c r="B10" s="60"/>
      <c r="C10" s="60"/>
      <c r="D10" s="60"/>
      <c r="E10" s="60"/>
      <c r="F10" s="60"/>
      <c r="G10" s="60"/>
      <c r="H10" s="60"/>
      <c r="I10" s="60"/>
      <c r="J10" s="60"/>
      <c r="K10" s="60"/>
      <c r="L10" s="60"/>
      <c r="M10" s="60"/>
      <c r="N10" s="60"/>
      <c r="O10" s="60"/>
      <c r="P10" s="60"/>
      <c r="Q10" s="60"/>
      <c r="R10" s="60"/>
      <c r="S10" s="60"/>
      <c r="T10" s="60"/>
    </row>
    <row r="11" spans="1:20" x14ac:dyDescent="0.25">
      <c r="A11" s="60"/>
      <c r="B11" s="60"/>
      <c r="C11" s="60"/>
      <c r="D11" s="60"/>
      <c r="E11" s="60"/>
      <c r="F11" s="60"/>
      <c r="G11" s="60"/>
      <c r="H11" s="60"/>
      <c r="I11" s="60"/>
      <c r="J11" s="60"/>
      <c r="K11" s="60"/>
      <c r="L11" s="60"/>
      <c r="M11" s="60"/>
      <c r="N11" s="60"/>
      <c r="O11" s="60"/>
      <c r="P11" s="60"/>
      <c r="Q11" s="60"/>
      <c r="R11" s="60"/>
      <c r="S11" s="60"/>
      <c r="T11" s="60"/>
    </row>
    <row r="12" spans="1:20" x14ac:dyDescent="0.25">
      <c r="A12" s="60"/>
      <c r="B12" s="60"/>
      <c r="C12" s="60"/>
      <c r="D12" s="60"/>
      <c r="E12" s="60"/>
      <c r="F12" s="60"/>
      <c r="G12" s="60"/>
      <c r="H12" s="60"/>
      <c r="I12" s="60"/>
      <c r="J12" s="60"/>
      <c r="K12" s="60"/>
      <c r="L12" s="60"/>
      <c r="M12" s="60"/>
      <c r="N12" s="60"/>
      <c r="O12" s="60"/>
      <c r="P12" s="60"/>
      <c r="Q12" s="60"/>
      <c r="R12" s="60"/>
      <c r="S12" s="60"/>
      <c r="T12" s="60"/>
    </row>
    <row r="13" spans="1:20" x14ac:dyDescent="0.25">
      <c r="A13" s="60"/>
      <c r="B13" s="60"/>
      <c r="C13" s="60"/>
      <c r="D13" s="60"/>
      <c r="E13" s="60"/>
      <c r="F13" s="60"/>
      <c r="G13" s="60"/>
      <c r="H13" s="60"/>
      <c r="I13" s="60"/>
      <c r="J13" s="60"/>
      <c r="K13" s="60"/>
      <c r="L13" s="60"/>
      <c r="M13" s="60"/>
      <c r="N13" s="60"/>
      <c r="O13" s="60"/>
      <c r="P13" s="60"/>
      <c r="Q13" s="60"/>
      <c r="R13" s="60"/>
      <c r="S13" s="60"/>
      <c r="T13" s="60"/>
    </row>
    <row r="14" spans="1:20" x14ac:dyDescent="0.25">
      <c r="A14" s="60"/>
      <c r="B14" s="60"/>
      <c r="C14" s="60"/>
      <c r="D14" s="60"/>
      <c r="E14" s="60"/>
      <c r="F14" s="60"/>
      <c r="G14" s="60"/>
      <c r="H14" s="60"/>
      <c r="I14" s="60"/>
      <c r="J14" s="60"/>
      <c r="K14" s="60"/>
      <c r="L14" s="60"/>
      <c r="M14" s="60"/>
      <c r="N14" s="60"/>
      <c r="O14" s="60"/>
      <c r="P14" s="60"/>
      <c r="Q14" s="60"/>
      <c r="R14" s="60"/>
      <c r="S14" s="60"/>
      <c r="T14" s="60"/>
    </row>
    <row r="15" spans="1:20" x14ac:dyDescent="0.25">
      <c r="A15" s="60"/>
      <c r="B15" s="60"/>
      <c r="C15" s="60"/>
      <c r="D15" s="60"/>
      <c r="E15" s="60"/>
      <c r="F15" s="60"/>
      <c r="G15" s="60"/>
      <c r="H15" s="60"/>
      <c r="I15" s="60"/>
      <c r="J15" s="60"/>
      <c r="K15" s="60"/>
      <c r="L15" s="60"/>
      <c r="M15" s="60"/>
      <c r="N15" s="60"/>
      <c r="O15" s="60"/>
      <c r="P15" s="60"/>
      <c r="Q15" s="60"/>
      <c r="R15" s="60"/>
      <c r="S15" s="60"/>
      <c r="T15" s="60"/>
    </row>
    <row r="16" spans="1:20" x14ac:dyDescent="0.25">
      <c r="A16" s="60"/>
      <c r="B16" s="60"/>
      <c r="C16" s="60"/>
      <c r="D16" s="60"/>
      <c r="E16" s="60"/>
      <c r="F16" s="60"/>
      <c r="G16" s="60"/>
      <c r="H16" s="60"/>
      <c r="I16" s="60"/>
      <c r="J16" s="60"/>
      <c r="K16" s="60"/>
      <c r="L16" s="60"/>
      <c r="M16" s="60"/>
      <c r="N16" s="60"/>
      <c r="O16" s="60"/>
      <c r="P16" s="60"/>
      <c r="Q16" s="60"/>
      <c r="R16" s="60"/>
      <c r="S16" s="60"/>
      <c r="T16" s="60"/>
    </row>
    <row r="17" spans="1:20" x14ac:dyDescent="0.25">
      <c r="A17" s="60"/>
      <c r="B17" s="60"/>
      <c r="C17" s="60"/>
      <c r="D17" s="60"/>
      <c r="E17" s="60"/>
      <c r="F17" s="60"/>
      <c r="G17" s="60"/>
      <c r="H17" s="60"/>
      <c r="I17" s="60"/>
      <c r="J17" s="60"/>
      <c r="K17" s="60"/>
      <c r="L17" s="60"/>
      <c r="M17" s="60"/>
      <c r="N17" s="60"/>
      <c r="O17" s="60"/>
      <c r="P17" s="60"/>
      <c r="Q17" s="60"/>
      <c r="R17" s="60"/>
      <c r="S17" s="60"/>
      <c r="T17" s="60"/>
    </row>
    <row r="18" spans="1:20" x14ac:dyDescent="0.25">
      <c r="A18" s="60"/>
      <c r="B18" s="60"/>
      <c r="C18" s="60"/>
      <c r="D18" s="60"/>
      <c r="E18" s="60"/>
      <c r="F18" s="60"/>
      <c r="G18" s="60"/>
      <c r="H18" s="60"/>
      <c r="I18" s="60"/>
      <c r="J18" s="60"/>
      <c r="K18" s="60"/>
      <c r="L18" s="60"/>
      <c r="M18" s="60"/>
      <c r="N18" s="60"/>
      <c r="O18" s="60"/>
      <c r="P18" s="60"/>
      <c r="Q18" s="60"/>
      <c r="R18" s="60"/>
      <c r="S18" s="60"/>
      <c r="T18" s="60"/>
    </row>
    <row r="19" spans="1:20" x14ac:dyDescent="0.25">
      <c r="A19" s="60"/>
      <c r="B19" s="60"/>
      <c r="C19" s="60"/>
      <c r="D19" s="60"/>
      <c r="E19" s="60"/>
      <c r="F19" s="60"/>
      <c r="G19" s="60"/>
      <c r="H19" s="60"/>
      <c r="I19" s="60"/>
      <c r="J19" s="60"/>
      <c r="K19" s="60"/>
      <c r="L19" s="60"/>
      <c r="M19" s="60"/>
      <c r="N19" s="60"/>
      <c r="O19" s="60"/>
      <c r="P19" s="60"/>
      <c r="Q19" s="60"/>
      <c r="R19" s="60"/>
      <c r="S19" s="60"/>
      <c r="T19" s="60"/>
    </row>
    <row r="20" spans="1:20" x14ac:dyDescent="0.25">
      <c r="A20" s="60"/>
      <c r="B20" s="60"/>
      <c r="C20" s="60"/>
      <c r="D20" s="60"/>
      <c r="E20" s="60"/>
      <c r="F20" s="60"/>
      <c r="G20" s="60"/>
      <c r="H20" s="60"/>
      <c r="I20" s="60"/>
      <c r="J20" s="60"/>
      <c r="K20" s="60"/>
      <c r="L20" s="60"/>
      <c r="M20" s="60"/>
      <c r="N20" s="60"/>
      <c r="O20" s="60"/>
      <c r="P20" s="60"/>
      <c r="Q20" s="60"/>
      <c r="R20" s="60"/>
      <c r="S20" s="60"/>
      <c r="T20" s="60"/>
    </row>
    <row r="21" spans="1:20" x14ac:dyDescent="0.25">
      <c r="A21" s="60"/>
      <c r="B21" s="60"/>
      <c r="C21" s="60"/>
      <c r="D21" s="60"/>
      <c r="E21" s="60"/>
      <c r="F21" s="60"/>
      <c r="G21" s="60"/>
      <c r="H21" s="60"/>
      <c r="I21" s="60"/>
      <c r="J21" s="60"/>
      <c r="K21" s="60"/>
      <c r="L21" s="60"/>
      <c r="M21" s="60"/>
      <c r="N21" s="60"/>
      <c r="O21" s="60"/>
      <c r="P21" s="60"/>
      <c r="Q21" s="60"/>
      <c r="R21" s="60"/>
      <c r="S21" s="60"/>
      <c r="T21" s="60"/>
    </row>
    <row r="22" spans="1:20" x14ac:dyDescent="0.25">
      <c r="A22" s="60"/>
      <c r="B22" s="60"/>
      <c r="C22" s="60"/>
      <c r="D22" s="60"/>
      <c r="E22" s="60"/>
      <c r="F22" s="60"/>
      <c r="G22" s="60"/>
      <c r="H22" s="60"/>
      <c r="I22" s="60"/>
      <c r="J22" s="60"/>
      <c r="K22" s="60"/>
      <c r="L22" s="60"/>
      <c r="M22" s="60"/>
      <c r="N22" s="60"/>
      <c r="O22" s="60"/>
      <c r="P22" s="60"/>
      <c r="Q22" s="60"/>
      <c r="R22" s="60"/>
      <c r="S22" s="60"/>
      <c r="T22" s="60"/>
    </row>
    <row r="23" spans="1:20" x14ac:dyDescent="0.25">
      <c r="A23" s="60"/>
      <c r="B23" s="60"/>
      <c r="C23" s="60"/>
      <c r="D23" s="60"/>
      <c r="E23" s="60"/>
      <c r="F23" s="60"/>
      <c r="G23" s="60"/>
      <c r="H23" s="60"/>
      <c r="I23" s="60"/>
      <c r="J23" s="60"/>
      <c r="K23" s="60"/>
      <c r="L23" s="60"/>
      <c r="M23" s="60"/>
      <c r="N23" s="60"/>
      <c r="O23" s="60"/>
      <c r="P23" s="60"/>
      <c r="Q23" s="60"/>
      <c r="R23" s="60"/>
      <c r="S23" s="60"/>
      <c r="T23" s="60"/>
    </row>
    <row r="24" spans="1:20" x14ac:dyDescent="0.25">
      <c r="A24" s="60"/>
      <c r="B24" s="60"/>
      <c r="C24" s="60"/>
      <c r="D24" s="60"/>
      <c r="E24" s="60"/>
      <c r="F24" s="60"/>
      <c r="G24" s="60"/>
      <c r="H24" s="60"/>
      <c r="I24" s="60"/>
      <c r="J24" s="60"/>
      <c r="K24" s="60"/>
      <c r="L24" s="60"/>
      <c r="M24" s="60"/>
      <c r="N24" s="60"/>
      <c r="O24" s="60"/>
      <c r="P24" s="60"/>
      <c r="Q24" s="60"/>
      <c r="R24" s="60"/>
      <c r="S24" s="60"/>
      <c r="T24" s="60"/>
    </row>
    <row r="25" spans="1:20" x14ac:dyDescent="0.25">
      <c r="A25" s="60"/>
      <c r="B25" s="60"/>
      <c r="C25" s="60"/>
      <c r="D25" s="60"/>
      <c r="E25" s="60"/>
      <c r="F25" s="60"/>
      <c r="G25" s="60"/>
      <c r="H25" s="60"/>
      <c r="I25" s="60"/>
      <c r="J25" s="60"/>
      <c r="K25" s="60"/>
      <c r="L25" s="60"/>
      <c r="M25" s="60"/>
      <c r="N25" s="60"/>
      <c r="O25" s="60"/>
      <c r="P25" s="60"/>
      <c r="Q25" s="60"/>
      <c r="R25" s="60"/>
      <c r="S25" s="60"/>
      <c r="T25" s="60"/>
    </row>
    <row r="26" spans="1:20" x14ac:dyDescent="0.25">
      <c r="A26" s="60"/>
      <c r="B26" s="60"/>
      <c r="C26" s="60"/>
      <c r="D26" s="60"/>
      <c r="E26" s="60"/>
      <c r="F26" s="60"/>
      <c r="G26" s="60"/>
      <c r="H26" s="60"/>
      <c r="I26" s="60"/>
      <c r="J26" s="60"/>
      <c r="K26" s="60"/>
      <c r="L26" s="60"/>
      <c r="M26" s="60"/>
      <c r="N26" s="60"/>
      <c r="O26" s="60"/>
      <c r="P26" s="60"/>
      <c r="Q26" s="60"/>
      <c r="R26" s="60"/>
      <c r="S26" s="60"/>
      <c r="T26" s="60"/>
    </row>
    <row r="27" spans="1:20" x14ac:dyDescent="0.25">
      <c r="A27" s="60"/>
      <c r="B27" s="60"/>
      <c r="C27" s="60"/>
      <c r="D27" s="60"/>
      <c r="E27" s="60"/>
      <c r="F27" s="60"/>
      <c r="G27" s="60"/>
      <c r="H27" s="60"/>
      <c r="I27" s="60"/>
      <c r="J27" s="60"/>
      <c r="K27" s="60"/>
      <c r="L27" s="60"/>
      <c r="M27" s="60"/>
      <c r="N27" s="60"/>
      <c r="O27" s="60"/>
      <c r="P27" s="60"/>
      <c r="Q27" s="60"/>
      <c r="R27" s="60"/>
      <c r="S27" s="60"/>
      <c r="T27" s="60"/>
    </row>
    <row r="28" spans="1:20" x14ac:dyDescent="0.25">
      <c r="A28" s="60"/>
      <c r="B28" s="60"/>
      <c r="C28" s="60"/>
      <c r="D28" s="60"/>
      <c r="E28" s="60"/>
      <c r="F28" s="60"/>
      <c r="G28" s="60"/>
      <c r="H28" s="60"/>
      <c r="I28" s="60"/>
      <c r="J28" s="60"/>
      <c r="K28" s="60"/>
      <c r="L28" s="60"/>
      <c r="M28" s="60"/>
      <c r="N28" s="60"/>
      <c r="O28" s="60"/>
      <c r="P28" s="60"/>
      <c r="Q28" s="60"/>
      <c r="R28" s="60"/>
      <c r="S28" s="60"/>
      <c r="T28" s="60"/>
    </row>
    <row r="29" spans="1:20" x14ac:dyDescent="0.25">
      <c r="A29" s="60"/>
      <c r="B29" s="60"/>
      <c r="C29" s="60"/>
      <c r="D29" s="60"/>
      <c r="E29" s="60"/>
      <c r="F29" s="60"/>
      <c r="G29" s="60"/>
      <c r="H29" s="60"/>
      <c r="I29" s="60"/>
      <c r="J29" s="60"/>
      <c r="K29" s="60"/>
      <c r="L29" s="60"/>
      <c r="M29" s="60"/>
      <c r="N29" s="60"/>
      <c r="O29" s="60"/>
      <c r="P29" s="60"/>
      <c r="Q29" s="60"/>
      <c r="R29" s="60"/>
      <c r="S29" s="60"/>
      <c r="T29" s="60"/>
    </row>
    <row r="30" spans="1:20" x14ac:dyDescent="0.25">
      <c r="A30" s="60"/>
      <c r="B30" s="60"/>
      <c r="C30" s="60"/>
      <c r="D30" s="60"/>
      <c r="E30" s="60"/>
      <c r="F30" s="60"/>
      <c r="G30" s="60"/>
      <c r="H30" s="60"/>
      <c r="I30" s="60"/>
      <c r="J30" s="60"/>
      <c r="K30" s="60"/>
      <c r="L30" s="60"/>
      <c r="M30" s="60"/>
      <c r="N30" s="60"/>
      <c r="O30" s="60"/>
      <c r="P30" s="60"/>
      <c r="Q30" s="60"/>
      <c r="R30" s="60"/>
      <c r="S30" s="60"/>
      <c r="T30" s="60"/>
    </row>
    <row r="31" spans="1:20" x14ac:dyDescent="0.25">
      <c r="A31" s="60"/>
      <c r="B31" s="60"/>
      <c r="C31" s="60"/>
      <c r="D31" s="60"/>
      <c r="E31" s="60"/>
      <c r="F31" s="60"/>
      <c r="G31" s="60"/>
      <c r="H31" s="60"/>
      <c r="I31" s="60"/>
      <c r="J31" s="60"/>
      <c r="K31" s="60"/>
      <c r="L31" s="60"/>
      <c r="M31" s="60"/>
      <c r="N31" s="60"/>
      <c r="O31" s="60"/>
      <c r="P31" s="60"/>
      <c r="Q31" s="60"/>
      <c r="R31" s="60"/>
      <c r="S31" s="60"/>
      <c r="T31" s="60"/>
    </row>
    <row r="32" spans="1:20" x14ac:dyDescent="0.25">
      <c r="A32" s="60"/>
      <c r="B32" s="60"/>
      <c r="C32" s="60"/>
      <c r="D32" s="60"/>
      <c r="E32" s="60"/>
      <c r="F32" s="60"/>
      <c r="G32" s="60"/>
      <c r="H32" s="60"/>
      <c r="I32" s="60"/>
      <c r="J32" s="60"/>
      <c r="K32" s="60"/>
      <c r="L32" s="60"/>
      <c r="M32" s="60"/>
      <c r="N32" s="60"/>
      <c r="O32" s="60"/>
      <c r="P32" s="60"/>
      <c r="Q32" s="60"/>
      <c r="R32" s="60"/>
      <c r="S32" s="60"/>
      <c r="T32" s="60"/>
    </row>
    <row r="33" spans="1:20" x14ac:dyDescent="0.25">
      <c r="A33" s="60"/>
      <c r="B33" s="60"/>
      <c r="C33" s="60"/>
      <c r="D33" s="60"/>
      <c r="E33" s="60"/>
      <c r="F33" s="60"/>
      <c r="G33" s="60"/>
      <c r="H33" s="60"/>
      <c r="I33" s="60"/>
      <c r="J33" s="60"/>
      <c r="K33" s="60"/>
      <c r="L33" s="60"/>
      <c r="M33" s="60"/>
      <c r="N33" s="60"/>
      <c r="O33" s="60"/>
      <c r="P33" s="60"/>
      <c r="Q33" s="60"/>
      <c r="R33" s="60"/>
      <c r="S33" s="60"/>
      <c r="T33" s="60"/>
    </row>
    <row r="34" spans="1:20" x14ac:dyDescent="0.25">
      <c r="A34" s="60"/>
      <c r="B34" s="60"/>
      <c r="C34" s="60"/>
      <c r="D34" s="60"/>
      <c r="E34" s="60"/>
      <c r="F34" s="60"/>
      <c r="G34" s="60"/>
      <c r="H34" s="60"/>
      <c r="I34" s="60"/>
      <c r="J34" s="60"/>
      <c r="K34" s="60"/>
      <c r="L34" s="60"/>
      <c r="M34" s="60"/>
      <c r="N34" s="60"/>
      <c r="O34" s="60"/>
      <c r="P34" s="60"/>
      <c r="Q34" s="60"/>
      <c r="R34" s="60"/>
      <c r="S34" s="60"/>
      <c r="T34" s="60"/>
    </row>
  </sheetData>
  <mergeCells count="1">
    <mergeCell ref="A1:Q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data</vt:lpstr>
      <vt:lpstr>pivottable analysis</vt:lpstr>
      <vt:lpstr>Data</vt:lpstr>
      <vt:lpstr>Summary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 Baskaran and Hareendra Associates</dc:creator>
  <cp:lastModifiedBy>Office Baskaran and Hareendra Associates</cp:lastModifiedBy>
  <dcterms:created xsi:type="dcterms:W3CDTF">2026-02-13T05:02:56Z</dcterms:created>
  <dcterms:modified xsi:type="dcterms:W3CDTF">2026-03-09T09:52:09Z</dcterms:modified>
</cp:coreProperties>
</file>