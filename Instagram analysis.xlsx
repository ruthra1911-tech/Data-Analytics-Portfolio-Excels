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eb769f71961b5b/Pictures/Screenshots 1/aaaaa/"/>
    </mc:Choice>
  </mc:AlternateContent>
  <xr:revisionPtr revIDLastSave="370" documentId="8_{F3EA8265-5EDC-4C7C-9BC5-8D64F1C33BEA}" xr6:coauthVersionLast="47" xr6:coauthVersionMax="47" xr10:uidLastSave="{58A8B2FC-BC3B-4DCD-B4DE-8BB9C0F20C78}"/>
  <bookViews>
    <workbookView xWindow="-120" yWindow="-120" windowWidth="20730" windowHeight="11040" activeTab="1" xr2:uid="{6273DF48-4D66-48B8-92EE-F88E16C2A086}"/>
  </bookViews>
  <sheets>
    <sheet name="Raw 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6" i="2"/>
  <c r="C17" i="2"/>
  <c r="C18" i="2"/>
  <c r="C19" i="2"/>
  <c r="C20" i="2"/>
  <c r="C21" i="2"/>
  <c r="C22" i="2"/>
  <c r="C23" i="2"/>
  <c r="C24" i="2"/>
  <c r="C25" i="2"/>
  <c r="C14" i="2"/>
  <c r="B8" i="2" a="1"/>
  <c r="B8" i="2" s="1"/>
  <c r="C10" i="2" l="1"/>
  <c r="C9" i="2"/>
  <c r="C11" i="2"/>
  <c r="C8" i="2"/>
  <c r="I9" i="2" l="1"/>
  <c r="I10" i="2"/>
  <c r="I11" i="2"/>
  <c r="I8" i="2"/>
  <c r="H9" i="2"/>
  <c r="H10" i="2"/>
  <c r="H11" i="2"/>
  <c r="H8" i="2"/>
  <c r="G9" i="2"/>
  <c r="G10" i="2"/>
  <c r="G11" i="2"/>
  <c r="G8" i="2"/>
  <c r="F9" i="2"/>
  <c r="F10" i="2"/>
  <c r="F11" i="2"/>
  <c r="F8" i="2"/>
  <c r="E9" i="2"/>
  <c r="E10" i="2"/>
  <c r="E11" i="2"/>
  <c r="E8" i="2"/>
  <c r="D9" i="2"/>
  <c r="D10" i="2"/>
  <c r="D11" i="2"/>
  <c r="D8" i="2"/>
  <c r="J4" i="2"/>
  <c r="H4" i="2"/>
  <c r="G4" i="2"/>
  <c r="F4" i="2"/>
  <c r="E4" i="2"/>
  <c r="D4" i="2"/>
  <c r="C4" i="2"/>
  <c r="B4" i="2"/>
  <c r="M3" i="2"/>
  <c r="M4" i="2"/>
  <c r="K3" i="1"/>
  <c r="K9" i="2" s="1"/>
  <c r="K4" i="1"/>
  <c r="K10" i="2" s="1"/>
  <c r="K5" i="1"/>
  <c r="K11" i="2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K8" i="2" s="1"/>
  <c r="J2" i="1"/>
  <c r="J8" i="2" s="1"/>
  <c r="J3" i="1"/>
  <c r="J9" i="2" s="1"/>
  <c r="J4" i="1"/>
  <c r="J10" i="2" s="1"/>
  <c r="J5" i="1"/>
  <c r="J11" i="2" s="1"/>
  <c r="J6" i="1"/>
  <c r="J7" i="1"/>
  <c r="J8" i="1"/>
  <c r="I4" i="2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<sst xmlns="http://schemas.openxmlformats.org/spreadsheetml/2006/main" count="83" uniqueCount="28">
  <si>
    <t>Date</t>
  </si>
  <si>
    <t>Platform</t>
  </si>
  <si>
    <t>Impressions</t>
  </si>
  <si>
    <t>Reach</t>
  </si>
  <si>
    <t>Engagement</t>
  </si>
  <si>
    <t>Likes</t>
  </si>
  <si>
    <t>Comments</t>
  </si>
  <si>
    <t>Shares</t>
  </si>
  <si>
    <t>Engagement Rate</t>
  </si>
  <si>
    <t>Instagram</t>
  </si>
  <si>
    <t>Facebook</t>
  </si>
  <si>
    <t>Twitter</t>
  </si>
  <si>
    <t>YouTube</t>
  </si>
  <si>
    <t>Clicks</t>
  </si>
  <si>
    <t>Click Rate</t>
  </si>
  <si>
    <t>Total Impressions</t>
  </si>
  <si>
    <t>Total Reach</t>
  </si>
  <si>
    <t>Total Engagement</t>
  </si>
  <si>
    <t>Total Likes</t>
  </si>
  <si>
    <t>Total Comments</t>
  </si>
  <si>
    <t>Total Shares</t>
  </si>
  <si>
    <t>Total Clicks</t>
  </si>
  <si>
    <t>Average Engagement Rate</t>
  </si>
  <si>
    <t>Average Click Rate</t>
  </si>
  <si>
    <t>Overall Performances</t>
  </si>
  <si>
    <t>Platform Specific performance</t>
  </si>
  <si>
    <t>Total impression</t>
  </si>
  <si>
    <t>Instagram analysis dashborad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</si>
</sst>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499984740745262"/>
        <bgColor theme="1" tint="0.49998474074526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1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0" fontId="0" fillId="7" borderId="4" xfId="0" applyFill="1" applyBorder="1"/>
    <xf numFmtId="0" fontId="0" fillId="0" borderId="5" xfId="0" applyBorder="1"/>
    <xf numFmtId="0" fontId="0" fillId="7" borderId="5" xfId="0" applyFill="1" applyBorder="1"/>
    <xf numFmtId="14" fontId="0" fillId="3" borderId="6" xfId="0" applyNumberFormat="1" applyFill="1" applyBorder="1" applyAlignment="1">
      <alignment horizontal="center" vertical="center" wrapText="1"/>
    </xf>
    <xf numFmtId="0" fontId="0" fillId="0" borderId="7" xfId="0" applyBorder="1"/>
    <xf numFmtId="0" fontId="2" fillId="2" borderId="6" xfId="0" applyFont="1" applyFill="1" applyBorder="1" applyAlignment="1">
      <alignment horizontal="center" vertical="center" wrapText="1"/>
    </xf>
    <xf numFmtId="164" fontId="0" fillId="3" borderId="6" xfId="1" applyNumberFormat="1" applyFont="1" applyFill="1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 wrapText="1"/>
    </xf>
    <xf numFmtId="10" fontId="4" fillId="3" borderId="1" xfId="2" applyNumberFormat="1" applyFont="1" applyFill="1" applyBorder="1"/>
    <xf numFmtId="10" fontId="4" fillId="0" borderId="1" xfId="2" applyNumberFormat="1" applyFont="1" applyBorder="1"/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0" applyNumberFormat="1" applyBorder="1"/>
    <xf numFmtId="43" fontId="4" fillId="3" borderId="1" xfId="1" applyFont="1" applyFill="1" applyBorder="1"/>
    <xf numFmtId="10" fontId="4" fillId="3" borderId="1" xfId="0" applyNumberFormat="1" applyFont="1" applyFill="1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FD305A4-4F67-4B47-9E97-493F04C9A0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Summary!$E$7</c:f>
              <c:strCache>
                <c:ptCount val="1"/>
                <c:pt idx="0">
                  <c:v>Total Engagement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D9-4D4A-A172-9740052153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D9-4D4A-A172-9740052153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D9-4D4A-A172-9740052153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D9-4D4A-A172-97400521539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1D9-4D4A-A172-97400521539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1D9-4D4A-A172-97400521539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1D9-4D4A-A172-97400521539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1D9-4D4A-A172-97400521539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Summary!$B$8:$B$11</c:f>
              <c:strCache>
                <c:ptCount val="4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Summary!$E$8:$E$11</c:f>
              <c:numCache>
                <c:formatCode>General</c:formatCode>
                <c:ptCount val="4"/>
                <c:pt idx="0">
                  <c:v>22800</c:v>
                </c:pt>
                <c:pt idx="1">
                  <c:v>15050</c:v>
                </c:pt>
                <c:pt idx="2">
                  <c:v>8880</c:v>
                </c:pt>
                <c:pt idx="3">
                  <c:v>26050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D9-4D4A-A172-97400521539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Summary!$C$7</c15:sqref>
                        </c15:formulaRef>
                      </c:ext>
                    </c:extLst>
                    <c:strCache>
                      <c:ptCount val="1"/>
                      <c:pt idx="0">
                        <c:v>Total Impressions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1D9-4D4A-A172-97400521539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1D9-4D4A-A172-97400521539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1D9-4D4A-A172-97400521539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F1D9-4D4A-A172-974005215393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A-F1D9-4D4A-A172-974005215393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C-F1D9-4D4A-A172-974005215393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E-F1D9-4D4A-A172-974005215393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0-F1D9-4D4A-A172-97400521539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Summary!$B$8:$B$11</c15:sqref>
                        </c15:formulaRef>
                      </c:ext>
                    </c:extLst>
                    <c:strCache>
                      <c:ptCount val="4"/>
                      <c:pt idx="0">
                        <c:v>Instagram</c:v>
                      </c:pt>
                      <c:pt idx="1">
                        <c:v>Facebook</c:v>
                      </c:pt>
                      <c:pt idx="2">
                        <c:v>Twitter</c:v>
                      </c:pt>
                      <c:pt idx="3">
                        <c:v>YouTube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Summary!$C$8:$C$11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177000</c:v>
                      </c:pt>
                      <c:pt idx="1">
                        <c:v>135900</c:v>
                      </c:pt>
                      <c:pt idx="2">
                        <c:v>104900</c:v>
                      </c:pt>
                      <c:pt idx="3">
                        <c:v>387000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F1D9-4D4A-A172-97400521539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Summary!$C$13</c:f>
              <c:strCache>
                <c:ptCount val="1"/>
                <c:pt idx="0">
                  <c:v>Total impression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Summary!$B$14:$B$25</c:f>
              <c:numCache>
                <c:formatCode>m/d/yyyy</c:formatCode>
                <c:ptCount val="12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</c:numCache>
            </c:numRef>
          </c:cat>
          <c:val>
            <c:numRef>
              <c:f>Summary!$C$14:$C$25</c:f>
              <c:numCache>
                <c:formatCode>General</c:formatCode>
                <c:ptCount val="12"/>
                <c:pt idx="0">
                  <c:v>54400</c:v>
                </c:pt>
                <c:pt idx="1">
                  <c:v>56300</c:v>
                </c:pt>
                <c:pt idx="2">
                  <c:v>58200</c:v>
                </c:pt>
                <c:pt idx="3">
                  <c:v>60200</c:v>
                </c:pt>
                <c:pt idx="4">
                  <c:v>62200</c:v>
                </c:pt>
                <c:pt idx="5">
                  <c:v>64100</c:v>
                </c:pt>
                <c:pt idx="6">
                  <c:v>67300</c:v>
                </c:pt>
                <c:pt idx="7">
                  <c:v>70300</c:v>
                </c:pt>
                <c:pt idx="8">
                  <c:v>73200</c:v>
                </c:pt>
                <c:pt idx="9">
                  <c:v>76500</c:v>
                </c:pt>
                <c:pt idx="10">
                  <c:v>79600</c:v>
                </c:pt>
                <c:pt idx="11">
                  <c:v>82500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C-4E1A-9959-8315F4079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74831"/>
        <c:axId val="348075311"/>
      </c:lineChart>
      <c:dateAx>
        <c:axId val="3480748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75311"/>
        <c:crosses val="autoZero"/>
        <c:auto val="1"/>
        <c:lblOffset val="100"/>
        <c:baseTimeUnit val="days"/>
      </c:dateAx>
      <c:valAx>
        <c:axId val="3480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7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Summary!$C$7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Summary!$B$8:$B$11</c:f>
              <c:strCache>
                <c:ptCount val="4"/>
                <c:pt idx="0">
                  <c:v>Instagram</c:v>
                </c:pt>
                <c:pt idx="1">
                  <c:v>Facebook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Summary!$C$8:$C$11</c:f>
              <c:numCache>
                <c:formatCode>General</c:formatCode>
                <c:ptCount val="4"/>
                <c:pt idx="0">
                  <c:v>177000</c:v>
                </c:pt>
                <c:pt idx="1">
                  <c:v>135900</c:v>
                </c:pt>
                <c:pt idx="2">
                  <c:v>104900</c:v>
                </c:pt>
                <c:pt idx="3">
                  <c:v>387000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C-4C57-A877-2037809D32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3954495"/>
        <c:axId val="533953055"/>
      </c:barChart>
      <c:catAx>
        <c:axId val="53395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53055"/>
        <c:crosses val="autoZero"/>
        <c:auto val="1"/>
        <c:lblAlgn val="ctr"/>
        <c:lblOffset val="100"/>
        <c:noMultiLvlLbl val="0"/>
      </c:catAx>
      <c:valAx>
        <c:axId val="53395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12</xdr:row>
      <xdr:rowOff>9526</xdr:rowOff>
    </xdr:from>
    <xdr:to>
      <xdr:col>5</xdr:col>
      <xdr:colOff>1066800</xdr:colOff>
      <xdr:row>24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125A9-E5D5-469C-B49C-C8FBF4AE0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142876</xdr:colOff>
      <xdr:row>11</xdr:row>
      <xdr:rowOff>180976</xdr:rowOff>
    </xdr:from>
    <xdr:to>
      <xdr:col>8</xdr:col>
      <xdr:colOff>933450</xdr:colOff>
      <xdr:row>25</xdr:row>
      <xdr:rowOff>9526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CE0A3A-BE17-4792-AB23-3794775A5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1171576</xdr:colOff>
      <xdr:row>11</xdr:row>
      <xdr:rowOff>180975</xdr:rowOff>
    </xdr:from>
    <xdr:to>
      <xdr:col>11</xdr:col>
      <xdr:colOff>238126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ADD5C9-442A-4EF0-A541-12EA4D5F7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E3E6-F193-473A-911D-00093D80A2BA}">
  <dimension ref="A1:K49"/>
  <sheetViews>
    <sheetView workbookViewId="0">
      <selection activeCell="L8" sqref="L8"/>
    </sheetView>
  </sheetViews>
  <sheetFormatPr defaultRowHeight="15" x14ac:dyDescent="0.25"/>
  <cols>
    <col min="1" max="1" width="23.28515625" customWidth="1"/>
    <col min="2" max="2" width="18.5703125" customWidth="1"/>
    <col min="3" max="3" width="19.5703125" customWidth="1"/>
    <col min="4" max="4" width="14.140625" customWidth="1"/>
    <col min="5" max="5" width="13.7109375" customWidth="1"/>
    <col min="7" max="7" width="11" customWidth="1"/>
    <col min="9" max="9" width="20.85546875" customWidth="1"/>
    <col min="10" max="10" width="18.85546875" customWidth="1"/>
    <col min="11" max="11" width="12.28515625" customWidth="1"/>
  </cols>
  <sheetData>
    <row r="1" spans="1:1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13</v>
      </c>
      <c r="J1" s="1" t="s">
        <v>8</v>
      </c>
      <c r="K1" s="1" t="s">
        <v>14</v>
      </c>
    </row>
    <row r="2" spans="1:11" x14ac:dyDescent="0.25">
      <c r="A2" s="2">
        <v>45566</v>
      </c>
      <c r="B2" s="3" t="s">
        <v>9</v>
      </c>
      <c r="C2" s="4">
        <v>12000</v>
      </c>
      <c r="D2" s="4">
        <v>8500</v>
      </c>
      <c r="E2" s="4">
        <v>1350</v>
      </c>
      <c r="F2" s="4">
        <v>900</v>
      </c>
      <c r="G2" s="4">
        <v>250</v>
      </c>
      <c r="H2" s="4">
        <v>200</v>
      </c>
      <c r="I2" s="18">
        <v>180</v>
      </c>
      <c r="J2" s="20">
        <f>(F2+G2+H2)/C2</f>
        <v>0.1125</v>
      </c>
      <c r="K2" s="20">
        <f>I2/C2</f>
        <v>1.4999999999999999E-2</v>
      </c>
    </row>
    <row r="3" spans="1:11" x14ac:dyDescent="0.25">
      <c r="A3" s="5">
        <v>45566</v>
      </c>
      <c r="B3" s="6" t="s">
        <v>10</v>
      </c>
      <c r="C3" s="7">
        <v>9800</v>
      </c>
      <c r="D3" s="7">
        <v>7200</v>
      </c>
      <c r="E3" s="7">
        <v>980</v>
      </c>
      <c r="F3" s="7">
        <v>650</v>
      </c>
      <c r="G3" s="7">
        <v>180</v>
      </c>
      <c r="H3" s="7">
        <v>150</v>
      </c>
      <c r="I3" s="19">
        <v>140</v>
      </c>
      <c r="J3" s="21">
        <f t="shared" ref="J3:J49" si="0">(F3+G3+H3)/C3</f>
        <v>0.1</v>
      </c>
      <c r="K3" s="21">
        <f t="shared" ref="K3:K49" si="1">I3/C3</f>
        <v>1.4285714285714285E-2</v>
      </c>
    </row>
    <row r="4" spans="1:11" x14ac:dyDescent="0.25">
      <c r="A4" s="2">
        <v>45566</v>
      </c>
      <c r="B4" s="3" t="s">
        <v>11</v>
      </c>
      <c r="C4" s="4">
        <v>7600</v>
      </c>
      <c r="D4" s="4">
        <v>6900</v>
      </c>
      <c r="E4" s="4">
        <v>620</v>
      </c>
      <c r="F4" s="4">
        <v>420</v>
      </c>
      <c r="G4" s="4">
        <v>120</v>
      </c>
      <c r="H4" s="4">
        <v>80</v>
      </c>
      <c r="I4" s="18">
        <v>95</v>
      </c>
      <c r="J4" s="20">
        <f t="shared" si="0"/>
        <v>8.1578947368421056E-2</v>
      </c>
      <c r="K4" s="20">
        <f t="shared" si="1"/>
        <v>1.2500000000000001E-2</v>
      </c>
    </row>
    <row r="5" spans="1:11" x14ac:dyDescent="0.25">
      <c r="A5" s="5">
        <v>45566</v>
      </c>
      <c r="B5" s="6" t="s">
        <v>12</v>
      </c>
      <c r="C5" s="7">
        <v>25000</v>
      </c>
      <c r="D5" s="7">
        <v>18000</v>
      </c>
      <c r="E5" s="7">
        <v>1600</v>
      </c>
      <c r="F5" s="7">
        <v>1200</v>
      </c>
      <c r="G5" s="7">
        <v>180</v>
      </c>
      <c r="H5" s="7">
        <v>220</v>
      </c>
      <c r="I5" s="19">
        <v>950</v>
      </c>
      <c r="J5" s="21">
        <f t="shared" si="0"/>
        <v>6.4000000000000001E-2</v>
      </c>
      <c r="K5" s="21">
        <f t="shared" si="1"/>
        <v>3.7999999999999999E-2</v>
      </c>
    </row>
    <row r="6" spans="1:11" x14ac:dyDescent="0.25">
      <c r="A6" s="2">
        <v>45567</v>
      </c>
      <c r="B6" s="3" t="s">
        <v>9</v>
      </c>
      <c r="C6" s="4">
        <v>12500</v>
      </c>
      <c r="D6" s="4">
        <v>8800</v>
      </c>
      <c r="E6" s="4">
        <v>1450</v>
      </c>
      <c r="F6" s="4">
        <v>960</v>
      </c>
      <c r="G6" s="4">
        <v>270</v>
      </c>
      <c r="H6" s="4">
        <v>220</v>
      </c>
      <c r="I6" s="18">
        <v>190</v>
      </c>
      <c r="J6" s="20">
        <f t="shared" si="0"/>
        <v>0.11600000000000001</v>
      </c>
      <c r="K6" s="20">
        <f t="shared" si="1"/>
        <v>1.52E-2</v>
      </c>
    </row>
    <row r="7" spans="1:11" x14ac:dyDescent="0.25">
      <c r="A7" s="5">
        <v>45567</v>
      </c>
      <c r="B7" s="6" t="s">
        <v>10</v>
      </c>
      <c r="C7" s="7">
        <v>10000</v>
      </c>
      <c r="D7" s="7">
        <v>7400</v>
      </c>
      <c r="E7" s="7">
        <v>1020</v>
      </c>
      <c r="F7" s="7">
        <v>680</v>
      </c>
      <c r="G7" s="7">
        <v>190</v>
      </c>
      <c r="H7" s="7">
        <v>150</v>
      </c>
      <c r="I7" s="19">
        <v>145</v>
      </c>
      <c r="J7" s="21">
        <f t="shared" si="0"/>
        <v>0.10199999999999999</v>
      </c>
      <c r="K7" s="21">
        <f t="shared" si="1"/>
        <v>1.4500000000000001E-2</v>
      </c>
    </row>
    <row r="8" spans="1:11" x14ac:dyDescent="0.25">
      <c r="A8" s="2">
        <v>45567</v>
      </c>
      <c r="B8" s="3" t="s">
        <v>11</v>
      </c>
      <c r="C8" s="4">
        <v>7800</v>
      </c>
      <c r="D8" s="4">
        <v>7100</v>
      </c>
      <c r="E8" s="4">
        <v>640</v>
      </c>
      <c r="F8" s="4">
        <v>440</v>
      </c>
      <c r="G8" s="4">
        <v>120</v>
      </c>
      <c r="H8" s="4">
        <v>80</v>
      </c>
      <c r="I8" s="18">
        <v>98</v>
      </c>
      <c r="J8" s="20">
        <f t="shared" si="0"/>
        <v>8.2051282051282051E-2</v>
      </c>
      <c r="K8" s="20">
        <f t="shared" si="1"/>
        <v>1.2564102564102564E-2</v>
      </c>
    </row>
    <row r="9" spans="1:11" x14ac:dyDescent="0.25">
      <c r="A9" s="5">
        <v>45567</v>
      </c>
      <c r="B9" s="6" t="s">
        <v>12</v>
      </c>
      <c r="C9" s="7">
        <v>26000</v>
      </c>
      <c r="D9" s="7">
        <v>18500</v>
      </c>
      <c r="E9" s="7">
        <v>1700</v>
      </c>
      <c r="F9" s="7">
        <v>1250</v>
      </c>
      <c r="G9" s="7">
        <v>190</v>
      </c>
      <c r="H9" s="7">
        <v>260</v>
      </c>
      <c r="I9" s="19">
        <v>980</v>
      </c>
      <c r="J9" s="21">
        <f t="shared" si="0"/>
        <v>6.5384615384615388E-2</v>
      </c>
      <c r="K9" s="21">
        <f t="shared" si="1"/>
        <v>3.7692307692307692E-2</v>
      </c>
    </row>
    <row r="10" spans="1:11" x14ac:dyDescent="0.25">
      <c r="A10" s="2">
        <v>45568</v>
      </c>
      <c r="B10" s="3" t="s">
        <v>9</v>
      </c>
      <c r="C10" s="4">
        <v>13000</v>
      </c>
      <c r="D10" s="4">
        <v>9100</v>
      </c>
      <c r="E10" s="4">
        <v>1550</v>
      </c>
      <c r="F10" s="4">
        <v>1020</v>
      </c>
      <c r="G10" s="4">
        <v>290</v>
      </c>
      <c r="H10" s="4">
        <v>240</v>
      </c>
      <c r="I10" s="18">
        <v>200</v>
      </c>
      <c r="J10" s="20">
        <f t="shared" si="0"/>
        <v>0.11923076923076924</v>
      </c>
      <c r="K10" s="20">
        <f t="shared" si="1"/>
        <v>1.5384615384615385E-2</v>
      </c>
    </row>
    <row r="11" spans="1:11" x14ac:dyDescent="0.25">
      <c r="A11" s="5">
        <v>45568</v>
      </c>
      <c r="B11" s="6" t="s">
        <v>10</v>
      </c>
      <c r="C11" s="7">
        <v>10200</v>
      </c>
      <c r="D11" s="7">
        <v>7600</v>
      </c>
      <c r="E11" s="7">
        <v>1050</v>
      </c>
      <c r="F11" s="7">
        <v>700</v>
      </c>
      <c r="G11" s="7">
        <v>200</v>
      </c>
      <c r="H11" s="7">
        <v>150</v>
      </c>
      <c r="I11" s="19">
        <v>150</v>
      </c>
      <c r="J11" s="21">
        <f t="shared" si="0"/>
        <v>0.10294117647058823</v>
      </c>
      <c r="K11" s="21">
        <f t="shared" si="1"/>
        <v>1.4705882352941176E-2</v>
      </c>
    </row>
    <row r="12" spans="1:11" x14ac:dyDescent="0.25">
      <c r="A12" s="2">
        <v>45568</v>
      </c>
      <c r="B12" s="3" t="s">
        <v>11</v>
      </c>
      <c r="C12" s="4">
        <v>8000</v>
      </c>
      <c r="D12" s="4">
        <v>7300</v>
      </c>
      <c r="E12" s="4">
        <v>660</v>
      </c>
      <c r="F12" s="4">
        <v>460</v>
      </c>
      <c r="G12" s="4">
        <v>120</v>
      </c>
      <c r="H12" s="4">
        <v>80</v>
      </c>
      <c r="I12" s="18">
        <v>100</v>
      </c>
      <c r="J12" s="20">
        <f t="shared" si="0"/>
        <v>8.2500000000000004E-2</v>
      </c>
      <c r="K12" s="20">
        <f t="shared" si="1"/>
        <v>1.2500000000000001E-2</v>
      </c>
    </row>
    <row r="13" spans="1:11" x14ac:dyDescent="0.25">
      <c r="A13" s="5">
        <v>45568</v>
      </c>
      <c r="B13" s="6" t="s">
        <v>12</v>
      </c>
      <c r="C13" s="7">
        <v>27000</v>
      </c>
      <c r="D13" s="7">
        <v>19000</v>
      </c>
      <c r="E13" s="7">
        <v>1750</v>
      </c>
      <c r="F13" s="7">
        <v>1300</v>
      </c>
      <c r="G13" s="7">
        <v>200</v>
      </c>
      <c r="H13" s="7">
        <v>250</v>
      </c>
      <c r="I13" s="19">
        <v>1000</v>
      </c>
      <c r="J13" s="21">
        <f t="shared" si="0"/>
        <v>6.4814814814814811E-2</v>
      </c>
      <c r="K13" s="21">
        <f t="shared" si="1"/>
        <v>3.7037037037037035E-2</v>
      </c>
    </row>
    <row r="14" spans="1:11" x14ac:dyDescent="0.25">
      <c r="A14" s="2">
        <v>45569</v>
      </c>
      <c r="B14" s="3" t="s">
        <v>9</v>
      </c>
      <c r="C14" s="4">
        <v>13500</v>
      </c>
      <c r="D14" s="4">
        <v>9500</v>
      </c>
      <c r="E14" s="4">
        <v>1650</v>
      </c>
      <c r="F14" s="4">
        <v>1080</v>
      </c>
      <c r="G14" s="4">
        <v>310</v>
      </c>
      <c r="H14" s="4">
        <v>260</v>
      </c>
      <c r="I14" s="18">
        <v>215</v>
      </c>
      <c r="J14" s="20">
        <f t="shared" si="0"/>
        <v>0.12222222222222222</v>
      </c>
      <c r="K14" s="20">
        <f t="shared" si="1"/>
        <v>1.5925925925925927E-2</v>
      </c>
    </row>
    <row r="15" spans="1:11" x14ac:dyDescent="0.25">
      <c r="A15" s="5">
        <v>45569</v>
      </c>
      <c r="B15" s="6" t="s">
        <v>10</v>
      </c>
      <c r="C15" s="7">
        <v>10500</v>
      </c>
      <c r="D15" s="7">
        <v>7900</v>
      </c>
      <c r="E15" s="7">
        <v>1100</v>
      </c>
      <c r="F15" s="7">
        <v>730</v>
      </c>
      <c r="G15" s="7">
        <v>220</v>
      </c>
      <c r="H15" s="7">
        <v>150</v>
      </c>
      <c r="I15" s="19">
        <v>160</v>
      </c>
      <c r="J15" s="21">
        <f t="shared" si="0"/>
        <v>0.10476190476190476</v>
      </c>
      <c r="K15" s="21">
        <f t="shared" si="1"/>
        <v>1.5238095238095238E-2</v>
      </c>
    </row>
    <row r="16" spans="1:11" x14ac:dyDescent="0.25">
      <c r="A16" s="2">
        <v>45569</v>
      </c>
      <c r="B16" s="3" t="s">
        <v>11</v>
      </c>
      <c r="C16" s="4">
        <v>8200</v>
      </c>
      <c r="D16" s="4">
        <v>7500</v>
      </c>
      <c r="E16" s="4">
        <v>680</v>
      </c>
      <c r="F16" s="4">
        <v>480</v>
      </c>
      <c r="G16" s="4">
        <v>120</v>
      </c>
      <c r="H16" s="4">
        <v>80</v>
      </c>
      <c r="I16" s="18">
        <v>105</v>
      </c>
      <c r="J16" s="20">
        <f t="shared" si="0"/>
        <v>8.2926829268292687E-2</v>
      </c>
      <c r="K16" s="20">
        <f t="shared" si="1"/>
        <v>1.2804878048780487E-2</v>
      </c>
    </row>
    <row r="17" spans="1:11" x14ac:dyDescent="0.25">
      <c r="A17" s="5">
        <v>45569</v>
      </c>
      <c r="B17" s="6" t="s">
        <v>12</v>
      </c>
      <c r="C17" s="7">
        <v>28000</v>
      </c>
      <c r="D17" s="7">
        <v>19500</v>
      </c>
      <c r="E17" s="7">
        <v>1800</v>
      </c>
      <c r="F17" s="7">
        <v>1350</v>
      </c>
      <c r="G17" s="7">
        <v>210</v>
      </c>
      <c r="H17" s="7">
        <v>240</v>
      </c>
      <c r="I17" s="19">
        <v>1020</v>
      </c>
      <c r="J17" s="21">
        <f t="shared" si="0"/>
        <v>6.4285714285714279E-2</v>
      </c>
      <c r="K17" s="21">
        <f t="shared" si="1"/>
        <v>3.6428571428571428E-2</v>
      </c>
    </row>
    <row r="18" spans="1:11" x14ac:dyDescent="0.25">
      <c r="A18" s="2">
        <v>45570</v>
      </c>
      <c r="B18" s="3" t="s">
        <v>9</v>
      </c>
      <c r="C18" s="4">
        <v>14000</v>
      </c>
      <c r="D18" s="4">
        <v>9800</v>
      </c>
      <c r="E18" s="4">
        <v>1750</v>
      </c>
      <c r="F18" s="4">
        <v>1150</v>
      </c>
      <c r="G18" s="4">
        <v>330</v>
      </c>
      <c r="H18" s="4">
        <v>270</v>
      </c>
      <c r="I18" s="18">
        <v>225</v>
      </c>
      <c r="J18" s="20">
        <f t="shared" si="0"/>
        <v>0.125</v>
      </c>
      <c r="K18" s="20">
        <f t="shared" si="1"/>
        <v>1.607142857142857E-2</v>
      </c>
    </row>
    <row r="19" spans="1:11" x14ac:dyDescent="0.25">
      <c r="A19" s="5">
        <v>45570</v>
      </c>
      <c r="B19" s="6" t="s">
        <v>10</v>
      </c>
      <c r="C19" s="7">
        <v>10800</v>
      </c>
      <c r="D19" s="7">
        <v>8200</v>
      </c>
      <c r="E19" s="7">
        <v>1150</v>
      </c>
      <c r="F19" s="7">
        <v>760</v>
      </c>
      <c r="G19" s="7">
        <v>240</v>
      </c>
      <c r="H19" s="7">
        <v>150</v>
      </c>
      <c r="I19" s="19">
        <v>165</v>
      </c>
      <c r="J19" s="21">
        <f t="shared" si="0"/>
        <v>0.10648148148148148</v>
      </c>
      <c r="K19" s="21">
        <f t="shared" si="1"/>
        <v>1.5277777777777777E-2</v>
      </c>
    </row>
    <row r="20" spans="1:11" x14ac:dyDescent="0.25">
      <c r="A20" s="2">
        <v>45570</v>
      </c>
      <c r="B20" s="3" t="s">
        <v>11</v>
      </c>
      <c r="C20" s="4">
        <v>8400</v>
      </c>
      <c r="D20" s="4">
        <v>7700</v>
      </c>
      <c r="E20" s="4">
        <v>700</v>
      </c>
      <c r="F20" s="4">
        <v>500</v>
      </c>
      <c r="G20" s="4">
        <v>120</v>
      </c>
      <c r="H20" s="4">
        <v>80</v>
      </c>
      <c r="I20" s="18">
        <v>108</v>
      </c>
      <c r="J20" s="20">
        <f t="shared" si="0"/>
        <v>8.3333333333333329E-2</v>
      </c>
      <c r="K20" s="20">
        <f t="shared" si="1"/>
        <v>1.2857142857142857E-2</v>
      </c>
    </row>
    <row r="21" spans="1:11" x14ac:dyDescent="0.25">
      <c r="A21" s="5">
        <v>45570</v>
      </c>
      <c r="B21" s="6" t="s">
        <v>12</v>
      </c>
      <c r="C21" s="7">
        <v>29000</v>
      </c>
      <c r="D21" s="7">
        <v>20000</v>
      </c>
      <c r="E21" s="7">
        <v>1900</v>
      </c>
      <c r="F21" s="7">
        <v>1400</v>
      </c>
      <c r="G21" s="7">
        <v>220</v>
      </c>
      <c r="H21" s="7">
        <v>280</v>
      </c>
      <c r="I21" s="19">
        <v>1050</v>
      </c>
      <c r="J21" s="21">
        <f t="shared" si="0"/>
        <v>6.5517241379310351E-2</v>
      </c>
      <c r="K21" s="21">
        <f t="shared" si="1"/>
        <v>3.6206896551724141E-2</v>
      </c>
    </row>
    <row r="22" spans="1:11" x14ac:dyDescent="0.25">
      <c r="A22" s="2">
        <v>45571</v>
      </c>
      <c r="B22" s="3" t="s">
        <v>9</v>
      </c>
      <c r="C22" s="4">
        <v>14500</v>
      </c>
      <c r="D22" s="4">
        <v>10200</v>
      </c>
      <c r="E22" s="4">
        <v>1850</v>
      </c>
      <c r="F22" s="4">
        <v>1220</v>
      </c>
      <c r="G22" s="4">
        <v>350</v>
      </c>
      <c r="H22" s="4">
        <v>280</v>
      </c>
      <c r="I22" s="18">
        <v>240</v>
      </c>
      <c r="J22" s="20">
        <f t="shared" si="0"/>
        <v>0.12758620689655173</v>
      </c>
      <c r="K22" s="20">
        <f t="shared" si="1"/>
        <v>1.6551724137931035E-2</v>
      </c>
    </row>
    <row r="23" spans="1:11" x14ac:dyDescent="0.25">
      <c r="A23" s="5">
        <v>45571</v>
      </c>
      <c r="B23" s="6" t="s">
        <v>10</v>
      </c>
      <c r="C23" s="7">
        <v>11000</v>
      </c>
      <c r="D23" s="7">
        <v>8500</v>
      </c>
      <c r="E23" s="7">
        <v>1200</v>
      </c>
      <c r="F23" s="7">
        <v>800</v>
      </c>
      <c r="G23" s="7">
        <v>250</v>
      </c>
      <c r="H23" s="7">
        <v>150</v>
      </c>
      <c r="I23" s="19">
        <v>170</v>
      </c>
      <c r="J23" s="21">
        <f t="shared" si="0"/>
        <v>0.10909090909090909</v>
      </c>
      <c r="K23" s="21">
        <f t="shared" si="1"/>
        <v>1.5454545454545455E-2</v>
      </c>
    </row>
    <row r="24" spans="1:11" x14ac:dyDescent="0.25">
      <c r="A24" s="2">
        <v>45571</v>
      </c>
      <c r="B24" s="3" t="s">
        <v>11</v>
      </c>
      <c r="C24" s="4">
        <v>8600</v>
      </c>
      <c r="D24" s="4">
        <v>7900</v>
      </c>
      <c r="E24" s="4">
        <v>720</v>
      </c>
      <c r="F24" s="4">
        <v>520</v>
      </c>
      <c r="G24" s="4">
        <v>120</v>
      </c>
      <c r="H24" s="4">
        <v>80</v>
      </c>
      <c r="I24" s="18">
        <v>110</v>
      </c>
      <c r="J24" s="20">
        <f t="shared" si="0"/>
        <v>8.3720930232558138E-2</v>
      </c>
      <c r="K24" s="20">
        <f t="shared" si="1"/>
        <v>1.2790697674418604E-2</v>
      </c>
    </row>
    <row r="25" spans="1:11" x14ac:dyDescent="0.25">
      <c r="A25" s="5">
        <v>45571</v>
      </c>
      <c r="B25" s="6" t="s">
        <v>12</v>
      </c>
      <c r="C25" s="7">
        <v>30000</v>
      </c>
      <c r="D25" s="7">
        <v>21000</v>
      </c>
      <c r="E25" s="7">
        <v>2000</v>
      </c>
      <c r="F25" s="7">
        <v>1500</v>
      </c>
      <c r="G25" s="7">
        <v>230</v>
      </c>
      <c r="H25" s="7">
        <v>270</v>
      </c>
      <c r="I25" s="19">
        <v>1100</v>
      </c>
      <c r="J25" s="21">
        <f t="shared" si="0"/>
        <v>6.6666666666666666E-2</v>
      </c>
      <c r="K25" s="21">
        <f t="shared" si="1"/>
        <v>3.6666666666666667E-2</v>
      </c>
    </row>
    <row r="26" spans="1:11" x14ac:dyDescent="0.25">
      <c r="A26" s="2">
        <v>45572</v>
      </c>
      <c r="B26" s="3" t="s">
        <v>9</v>
      </c>
      <c r="C26" s="4">
        <v>15000</v>
      </c>
      <c r="D26" s="4">
        <v>10500</v>
      </c>
      <c r="E26" s="4">
        <v>1950</v>
      </c>
      <c r="F26" s="4">
        <v>1280</v>
      </c>
      <c r="G26" s="4">
        <v>360</v>
      </c>
      <c r="H26" s="4">
        <v>310</v>
      </c>
      <c r="I26" s="18">
        <v>260</v>
      </c>
      <c r="J26" s="20">
        <f t="shared" si="0"/>
        <v>0.13</v>
      </c>
      <c r="K26" s="20">
        <f t="shared" si="1"/>
        <v>1.7333333333333333E-2</v>
      </c>
    </row>
    <row r="27" spans="1:11" x14ac:dyDescent="0.25">
      <c r="A27" s="5">
        <v>45572</v>
      </c>
      <c r="B27" s="6" t="s">
        <v>10</v>
      </c>
      <c r="C27" s="7">
        <v>11500</v>
      </c>
      <c r="D27" s="7">
        <v>8800</v>
      </c>
      <c r="E27" s="7">
        <v>1300</v>
      </c>
      <c r="F27" s="7">
        <v>850</v>
      </c>
      <c r="G27" s="7">
        <v>270</v>
      </c>
      <c r="H27" s="7">
        <v>180</v>
      </c>
      <c r="I27" s="19">
        <v>190</v>
      </c>
      <c r="J27" s="21">
        <f t="shared" si="0"/>
        <v>0.11304347826086956</v>
      </c>
      <c r="K27" s="21">
        <f t="shared" si="1"/>
        <v>1.6521739130434782E-2</v>
      </c>
    </row>
    <row r="28" spans="1:11" x14ac:dyDescent="0.25">
      <c r="A28" s="2">
        <v>45572</v>
      </c>
      <c r="B28" s="3" t="s">
        <v>11</v>
      </c>
      <c r="C28" s="4">
        <v>8800</v>
      </c>
      <c r="D28" s="4">
        <v>8100</v>
      </c>
      <c r="E28" s="4">
        <v>740</v>
      </c>
      <c r="F28" s="4">
        <v>540</v>
      </c>
      <c r="G28" s="4">
        <v>120</v>
      </c>
      <c r="H28" s="4">
        <v>80</v>
      </c>
      <c r="I28" s="18">
        <v>112</v>
      </c>
      <c r="J28" s="20">
        <f t="shared" si="0"/>
        <v>8.4090909090909091E-2</v>
      </c>
      <c r="K28" s="20">
        <f t="shared" si="1"/>
        <v>1.2727272727272728E-2</v>
      </c>
    </row>
    <row r="29" spans="1:11" x14ac:dyDescent="0.25">
      <c r="A29" s="5">
        <v>45572</v>
      </c>
      <c r="B29" s="6" t="s">
        <v>12</v>
      </c>
      <c r="C29" s="7">
        <v>32000</v>
      </c>
      <c r="D29" s="7">
        <v>22000</v>
      </c>
      <c r="E29" s="7">
        <v>2150</v>
      </c>
      <c r="F29" s="7">
        <v>1600</v>
      </c>
      <c r="G29" s="7">
        <v>250</v>
      </c>
      <c r="H29" s="7">
        <v>300</v>
      </c>
      <c r="I29" s="19">
        <v>1150</v>
      </c>
      <c r="J29" s="21">
        <f t="shared" si="0"/>
        <v>6.7187499999999997E-2</v>
      </c>
      <c r="K29" s="21">
        <f t="shared" si="1"/>
        <v>3.5937499999999997E-2</v>
      </c>
    </row>
    <row r="30" spans="1:11" x14ac:dyDescent="0.25">
      <c r="A30" s="2">
        <v>45573</v>
      </c>
      <c r="B30" s="3" t="s">
        <v>9</v>
      </c>
      <c r="C30" s="4">
        <v>15500</v>
      </c>
      <c r="D30" s="4">
        <v>10800</v>
      </c>
      <c r="E30" s="4">
        <v>2050</v>
      </c>
      <c r="F30" s="4">
        <v>1350</v>
      </c>
      <c r="G30" s="4">
        <v>380</v>
      </c>
      <c r="H30" s="4">
        <v>320</v>
      </c>
      <c r="I30" s="18">
        <v>275</v>
      </c>
      <c r="J30" s="20">
        <f t="shared" si="0"/>
        <v>0.13225806451612904</v>
      </c>
      <c r="K30" s="20">
        <f t="shared" si="1"/>
        <v>1.7741935483870968E-2</v>
      </c>
    </row>
    <row r="31" spans="1:11" x14ac:dyDescent="0.25">
      <c r="A31" s="5">
        <v>45573</v>
      </c>
      <c r="B31" s="6" t="s">
        <v>10</v>
      </c>
      <c r="C31" s="7">
        <v>11800</v>
      </c>
      <c r="D31" s="7">
        <v>9000</v>
      </c>
      <c r="E31" s="7">
        <v>1350</v>
      </c>
      <c r="F31" s="7">
        <v>900</v>
      </c>
      <c r="G31" s="7">
        <v>280</v>
      </c>
      <c r="H31" s="7">
        <v>170</v>
      </c>
      <c r="I31" s="19">
        <v>195</v>
      </c>
      <c r="J31" s="21">
        <f t="shared" si="0"/>
        <v>0.11440677966101695</v>
      </c>
      <c r="K31" s="21">
        <f t="shared" si="1"/>
        <v>1.6525423728813559E-2</v>
      </c>
    </row>
    <row r="32" spans="1:11" x14ac:dyDescent="0.25">
      <c r="A32" s="2">
        <v>45573</v>
      </c>
      <c r="B32" s="3" t="s">
        <v>11</v>
      </c>
      <c r="C32" s="4">
        <v>9000</v>
      </c>
      <c r="D32" s="4">
        <v>8300</v>
      </c>
      <c r="E32" s="4">
        <v>760</v>
      </c>
      <c r="F32" s="4">
        <v>560</v>
      </c>
      <c r="G32" s="4">
        <v>120</v>
      </c>
      <c r="H32" s="4">
        <v>80</v>
      </c>
      <c r="I32" s="18">
        <v>115</v>
      </c>
      <c r="J32" s="20">
        <f t="shared" si="0"/>
        <v>8.4444444444444447E-2</v>
      </c>
      <c r="K32" s="20">
        <f t="shared" si="1"/>
        <v>1.2777777777777779E-2</v>
      </c>
    </row>
    <row r="33" spans="1:11" x14ac:dyDescent="0.25">
      <c r="A33" s="5">
        <v>45573</v>
      </c>
      <c r="B33" s="6" t="s">
        <v>12</v>
      </c>
      <c r="C33" s="7">
        <v>34000</v>
      </c>
      <c r="D33" s="7">
        <v>23500</v>
      </c>
      <c r="E33" s="7">
        <v>2300</v>
      </c>
      <c r="F33" s="7">
        <v>1700</v>
      </c>
      <c r="G33" s="7">
        <v>260</v>
      </c>
      <c r="H33" s="7">
        <v>340</v>
      </c>
      <c r="I33" s="19">
        <v>1200</v>
      </c>
      <c r="J33" s="21">
        <f t="shared" si="0"/>
        <v>6.7647058823529407E-2</v>
      </c>
      <c r="K33" s="21">
        <f t="shared" si="1"/>
        <v>3.5294117647058823E-2</v>
      </c>
    </row>
    <row r="34" spans="1:11" x14ac:dyDescent="0.25">
      <c r="A34" s="2">
        <v>45574</v>
      </c>
      <c r="B34" s="3" t="s">
        <v>9</v>
      </c>
      <c r="C34" s="4">
        <v>16000</v>
      </c>
      <c r="D34" s="4">
        <v>11200</v>
      </c>
      <c r="E34" s="4">
        <v>2150</v>
      </c>
      <c r="F34" s="4">
        <v>1420</v>
      </c>
      <c r="G34" s="4">
        <v>400</v>
      </c>
      <c r="H34" s="4">
        <v>330</v>
      </c>
      <c r="I34" s="18">
        <v>290</v>
      </c>
      <c r="J34" s="20">
        <f t="shared" si="0"/>
        <v>0.13437499999999999</v>
      </c>
      <c r="K34" s="20">
        <f t="shared" si="1"/>
        <v>1.8124999999999999E-2</v>
      </c>
    </row>
    <row r="35" spans="1:11" x14ac:dyDescent="0.25">
      <c r="A35" s="5">
        <v>45574</v>
      </c>
      <c r="B35" s="6" t="s">
        <v>10</v>
      </c>
      <c r="C35" s="7">
        <v>12000</v>
      </c>
      <c r="D35" s="7">
        <v>9300</v>
      </c>
      <c r="E35" s="7">
        <v>1400</v>
      </c>
      <c r="F35" s="7">
        <v>930</v>
      </c>
      <c r="G35" s="7">
        <v>300</v>
      </c>
      <c r="H35" s="7">
        <v>170</v>
      </c>
      <c r="I35" s="19">
        <v>200</v>
      </c>
      <c r="J35" s="21">
        <f t="shared" si="0"/>
        <v>0.11666666666666667</v>
      </c>
      <c r="K35" s="21">
        <f t="shared" si="1"/>
        <v>1.6666666666666666E-2</v>
      </c>
    </row>
    <row r="36" spans="1:11" x14ac:dyDescent="0.25">
      <c r="A36" s="2">
        <v>45574</v>
      </c>
      <c r="B36" s="3" t="s">
        <v>11</v>
      </c>
      <c r="C36" s="4">
        <v>9200</v>
      </c>
      <c r="D36" s="4">
        <v>8500</v>
      </c>
      <c r="E36" s="4">
        <v>780</v>
      </c>
      <c r="F36" s="4">
        <v>580</v>
      </c>
      <c r="G36" s="4">
        <v>120</v>
      </c>
      <c r="H36" s="4">
        <v>80</v>
      </c>
      <c r="I36" s="18">
        <v>118</v>
      </c>
      <c r="J36" s="20">
        <f t="shared" si="0"/>
        <v>8.478260869565217E-2</v>
      </c>
      <c r="K36" s="20">
        <f t="shared" si="1"/>
        <v>1.2826086956521739E-2</v>
      </c>
    </row>
    <row r="37" spans="1:11" x14ac:dyDescent="0.25">
      <c r="A37" s="5">
        <v>45574</v>
      </c>
      <c r="B37" s="6" t="s">
        <v>12</v>
      </c>
      <c r="C37" s="7">
        <v>36000</v>
      </c>
      <c r="D37" s="7">
        <v>25000</v>
      </c>
      <c r="E37" s="7">
        <v>2450</v>
      </c>
      <c r="F37" s="7">
        <v>1800</v>
      </c>
      <c r="G37" s="7">
        <v>280</v>
      </c>
      <c r="H37" s="7">
        <v>370</v>
      </c>
      <c r="I37" s="19">
        <v>1250</v>
      </c>
      <c r="J37" s="21">
        <f t="shared" si="0"/>
        <v>6.805555555555555E-2</v>
      </c>
      <c r="K37" s="21">
        <f t="shared" si="1"/>
        <v>3.4722222222222224E-2</v>
      </c>
    </row>
    <row r="38" spans="1:11" x14ac:dyDescent="0.25">
      <c r="A38" s="2">
        <v>45575</v>
      </c>
      <c r="B38" s="3" t="s">
        <v>9</v>
      </c>
      <c r="C38" s="4">
        <v>16500</v>
      </c>
      <c r="D38" s="4">
        <v>11500</v>
      </c>
      <c r="E38" s="4">
        <v>2250</v>
      </c>
      <c r="F38" s="4">
        <v>1500</v>
      </c>
      <c r="G38" s="4">
        <v>420</v>
      </c>
      <c r="H38" s="4">
        <v>330</v>
      </c>
      <c r="I38" s="18">
        <v>300</v>
      </c>
      <c r="J38" s="20">
        <f t="shared" si="0"/>
        <v>0.13636363636363635</v>
      </c>
      <c r="K38" s="20">
        <f t="shared" si="1"/>
        <v>1.8181818181818181E-2</v>
      </c>
    </row>
    <row r="39" spans="1:11" x14ac:dyDescent="0.25">
      <c r="A39" s="5">
        <v>45575</v>
      </c>
      <c r="B39" s="6" t="s">
        <v>10</v>
      </c>
      <c r="C39" s="7">
        <v>12500</v>
      </c>
      <c r="D39" s="7">
        <v>9600</v>
      </c>
      <c r="E39" s="7">
        <v>1450</v>
      </c>
      <c r="F39" s="7">
        <v>960</v>
      </c>
      <c r="G39" s="7">
        <v>320</v>
      </c>
      <c r="H39" s="7">
        <v>170</v>
      </c>
      <c r="I39" s="19">
        <v>205</v>
      </c>
      <c r="J39" s="21">
        <f t="shared" si="0"/>
        <v>0.11600000000000001</v>
      </c>
      <c r="K39" s="21">
        <f t="shared" si="1"/>
        <v>1.6400000000000001E-2</v>
      </c>
    </row>
    <row r="40" spans="1:11" x14ac:dyDescent="0.25">
      <c r="A40" s="2">
        <v>45575</v>
      </c>
      <c r="B40" s="3" t="s">
        <v>11</v>
      </c>
      <c r="C40" s="4">
        <v>9500</v>
      </c>
      <c r="D40" s="4">
        <v>8800</v>
      </c>
      <c r="E40" s="4">
        <v>820</v>
      </c>
      <c r="F40" s="4">
        <v>600</v>
      </c>
      <c r="G40" s="4">
        <v>140</v>
      </c>
      <c r="H40" s="4">
        <v>80</v>
      </c>
      <c r="I40" s="18">
        <v>120</v>
      </c>
      <c r="J40" s="20">
        <f t="shared" si="0"/>
        <v>8.6315789473684207E-2</v>
      </c>
      <c r="K40" s="20">
        <f t="shared" si="1"/>
        <v>1.2631578947368421E-2</v>
      </c>
    </row>
    <row r="41" spans="1:11" x14ac:dyDescent="0.25">
      <c r="A41" s="5">
        <v>45575</v>
      </c>
      <c r="B41" s="6" t="s">
        <v>12</v>
      </c>
      <c r="C41" s="7">
        <v>38000</v>
      </c>
      <c r="D41" s="7">
        <v>26500</v>
      </c>
      <c r="E41" s="7">
        <v>2600</v>
      </c>
      <c r="F41" s="7">
        <v>1900</v>
      </c>
      <c r="G41" s="7">
        <v>300</v>
      </c>
      <c r="H41" s="7">
        <v>400</v>
      </c>
      <c r="I41" s="19">
        <v>1300</v>
      </c>
      <c r="J41" s="21">
        <f t="shared" si="0"/>
        <v>6.8421052631578952E-2</v>
      </c>
      <c r="K41" s="21">
        <f t="shared" si="1"/>
        <v>3.4210526315789476E-2</v>
      </c>
    </row>
    <row r="42" spans="1:11" x14ac:dyDescent="0.25">
      <c r="A42" s="2">
        <v>45576</v>
      </c>
      <c r="B42" s="3" t="s">
        <v>9</v>
      </c>
      <c r="C42" s="4">
        <v>17000</v>
      </c>
      <c r="D42" s="4">
        <v>11800</v>
      </c>
      <c r="E42" s="4">
        <v>2350</v>
      </c>
      <c r="F42" s="4">
        <v>1550</v>
      </c>
      <c r="G42" s="4">
        <v>450</v>
      </c>
      <c r="H42" s="4">
        <v>350</v>
      </c>
      <c r="I42" s="18">
        <v>320</v>
      </c>
      <c r="J42" s="20">
        <f t="shared" si="0"/>
        <v>0.13823529411764707</v>
      </c>
      <c r="K42" s="20">
        <f t="shared" si="1"/>
        <v>1.8823529411764704E-2</v>
      </c>
    </row>
    <row r="43" spans="1:11" x14ac:dyDescent="0.25">
      <c r="A43" s="5">
        <v>45576</v>
      </c>
      <c r="B43" s="6" t="s">
        <v>10</v>
      </c>
      <c r="C43" s="7">
        <v>12800</v>
      </c>
      <c r="D43" s="7">
        <v>9800</v>
      </c>
      <c r="E43" s="7">
        <v>1500</v>
      </c>
      <c r="F43" s="7">
        <v>1000</v>
      </c>
      <c r="G43" s="7">
        <v>320</v>
      </c>
      <c r="H43" s="7">
        <v>180</v>
      </c>
      <c r="I43" s="19">
        <v>215</v>
      </c>
      <c r="J43" s="21">
        <f t="shared" si="0"/>
        <v>0.1171875</v>
      </c>
      <c r="K43" s="21">
        <f t="shared" si="1"/>
        <v>1.6796874999999999E-2</v>
      </c>
    </row>
    <row r="44" spans="1:11" x14ac:dyDescent="0.25">
      <c r="A44" s="2">
        <v>45576</v>
      </c>
      <c r="B44" s="3" t="s">
        <v>11</v>
      </c>
      <c r="C44" s="4">
        <v>9800</v>
      </c>
      <c r="D44" s="4">
        <v>9000</v>
      </c>
      <c r="E44" s="4">
        <v>860</v>
      </c>
      <c r="F44" s="4">
        <v>620</v>
      </c>
      <c r="G44" s="4">
        <v>160</v>
      </c>
      <c r="H44" s="4">
        <v>80</v>
      </c>
      <c r="I44" s="18">
        <v>125</v>
      </c>
      <c r="J44" s="20">
        <f t="shared" si="0"/>
        <v>8.7755102040816324E-2</v>
      </c>
      <c r="K44" s="20">
        <f t="shared" si="1"/>
        <v>1.2755102040816327E-2</v>
      </c>
    </row>
    <row r="45" spans="1:11" x14ac:dyDescent="0.25">
      <c r="A45" s="5">
        <v>45576</v>
      </c>
      <c r="B45" s="6" t="s">
        <v>12</v>
      </c>
      <c r="C45" s="7">
        <v>40000</v>
      </c>
      <c r="D45" s="7">
        <v>28000</v>
      </c>
      <c r="E45" s="7">
        <v>2800</v>
      </c>
      <c r="F45" s="7">
        <v>2050</v>
      </c>
      <c r="G45" s="7">
        <v>320</v>
      </c>
      <c r="H45" s="7">
        <v>430</v>
      </c>
      <c r="I45" s="19">
        <v>1400</v>
      </c>
      <c r="J45" s="21">
        <f t="shared" si="0"/>
        <v>7.0000000000000007E-2</v>
      </c>
      <c r="K45" s="21">
        <f t="shared" si="1"/>
        <v>3.5000000000000003E-2</v>
      </c>
    </row>
    <row r="46" spans="1:11" x14ac:dyDescent="0.25">
      <c r="A46" s="2">
        <v>45577</v>
      </c>
      <c r="B46" s="3" t="s">
        <v>9</v>
      </c>
      <c r="C46" s="4">
        <v>17500</v>
      </c>
      <c r="D46" s="4">
        <v>12200</v>
      </c>
      <c r="E46" s="4">
        <v>2450</v>
      </c>
      <c r="F46" s="4">
        <v>1620</v>
      </c>
      <c r="G46" s="4">
        <v>480</v>
      </c>
      <c r="H46" s="4">
        <v>350</v>
      </c>
      <c r="I46" s="18">
        <v>330</v>
      </c>
      <c r="J46" s="20">
        <f t="shared" si="0"/>
        <v>0.14000000000000001</v>
      </c>
      <c r="K46" s="20">
        <f t="shared" si="1"/>
        <v>1.8857142857142857E-2</v>
      </c>
    </row>
    <row r="47" spans="1:11" x14ac:dyDescent="0.25">
      <c r="A47" s="5">
        <v>45577</v>
      </c>
      <c r="B47" s="6" t="s">
        <v>10</v>
      </c>
      <c r="C47" s="7">
        <v>13000</v>
      </c>
      <c r="D47" s="7">
        <v>10000</v>
      </c>
      <c r="E47" s="7">
        <v>1550</v>
      </c>
      <c r="F47" s="7">
        <v>1030</v>
      </c>
      <c r="G47" s="7">
        <v>340</v>
      </c>
      <c r="H47" s="7">
        <v>180</v>
      </c>
      <c r="I47" s="19">
        <v>220</v>
      </c>
      <c r="J47" s="21">
        <f t="shared" si="0"/>
        <v>0.11923076923076924</v>
      </c>
      <c r="K47" s="21">
        <f t="shared" si="1"/>
        <v>1.6923076923076923E-2</v>
      </c>
    </row>
    <row r="48" spans="1:11" x14ac:dyDescent="0.25">
      <c r="A48" s="2">
        <v>45577</v>
      </c>
      <c r="B48" s="3" t="s">
        <v>11</v>
      </c>
      <c r="C48" s="4">
        <v>10000</v>
      </c>
      <c r="D48" s="4">
        <v>9200</v>
      </c>
      <c r="E48" s="4">
        <v>900</v>
      </c>
      <c r="F48" s="4">
        <v>640</v>
      </c>
      <c r="G48" s="4">
        <v>180</v>
      </c>
      <c r="H48" s="4">
        <v>80</v>
      </c>
      <c r="I48" s="18">
        <v>130</v>
      </c>
      <c r="J48" s="20">
        <f t="shared" si="0"/>
        <v>0.09</v>
      </c>
      <c r="K48" s="20">
        <f t="shared" si="1"/>
        <v>1.2999999999999999E-2</v>
      </c>
    </row>
    <row r="49" spans="1:11" x14ac:dyDescent="0.25">
      <c r="A49" s="5">
        <v>45577</v>
      </c>
      <c r="B49" s="6" t="s">
        <v>12</v>
      </c>
      <c r="C49" s="7">
        <v>42000</v>
      </c>
      <c r="D49" s="7">
        <v>29500</v>
      </c>
      <c r="E49" s="7">
        <v>3000</v>
      </c>
      <c r="F49" s="7">
        <v>2200</v>
      </c>
      <c r="G49" s="7">
        <v>340</v>
      </c>
      <c r="H49" s="7">
        <v>460</v>
      </c>
      <c r="I49" s="19">
        <v>1500</v>
      </c>
      <c r="J49" s="21">
        <f t="shared" si="0"/>
        <v>7.1428571428571425E-2</v>
      </c>
      <c r="K49" s="21">
        <f t="shared" si="1"/>
        <v>3.5714285714285712E-2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B63A-D849-4FFF-B8F6-8EF0710CA45E}">
  <dimension ref="B1:M25"/>
  <sheetViews>
    <sheetView showGridLines="0" tabSelected="1" workbookViewId="0">
      <selection activeCell="B2" sqref="B2:J2"/>
    </sheetView>
  </sheetViews>
  <sheetFormatPr defaultRowHeight="15" x14ac:dyDescent="0.25"/>
  <cols>
    <col min="1" max="1" width="1.5703125" customWidth="1"/>
    <col min="2" max="2" width="13.42578125" bestFit="1" customWidth="1"/>
    <col min="3" max="3" width="16.5703125" customWidth="1"/>
    <col min="4" max="4" width="19.140625" customWidth="1"/>
    <col min="5" max="5" width="18.7109375" customWidth="1"/>
    <col min="6" max="6" width="18" customWidth="1"/>
    <col min="7" max="7" width="17.42578125" customWidth="1"/>
    <col min="8" max="8" width="14" customWidth="1"/>
    <col min="9" max="9" width="20.140625" customWidth="1"/>
    <col min="10" max="10" width="25.42578125" customWidth="1"/>
    <col min="11" max="11" width="19" customWidth="1"/>
  </cols>
  <sheetData>
    <row r="1" spans="2:13" ht="33" customHeight="1" x14ac:dyDescent="0.4">
      <c r="B1" s="32" t="s">
        <v>27</v>
      </c>
      <c r="C1" s="33"/>
      <c r="D1" s="33"/>
      <c r="E1" s="33"/>
      <c r="F1" s="33"/>
      <c r="G1" s="33"/>
      <c r="H1" s="33"/>
      <c r="I1" s="33"/>
      <c r="J1" s="33"/>
      <c r="K1" s="33"/>
    </row>
    <row r="2" spans="2:13" x14ac:dyDescent="0.25">
      <c r="B2" s="30" t="s">
        <v>24</v>
      </c>
      <c r="C2" s="30"/>
      <c r="D2" s="30"/>
      <c r="E2" s="30"/>
      <c r="F2" s="30"/>
      <c r="G2" s="30"/>
      <c r="H2" s="30"/>
      <c r="I2" s="30"/>
      <c r="J2" s="30"/>
      <c r="K2" s="29"/>
    </row>
    <row r="3" spans="2:13" ht="29.25" customHeight="1" x14ac:dyDescent="0.25"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M3" s="8">
        <f>SUM('Raw Data'!E:E)/SUM('Raw Data'!D:D)</f>
        <v>0.12252525252525252</v>
      </c>
    </row>
    <row r="4" spans="2:13" x14ac:dyDescent="0.25">
      <c r="B4" s="27">
        <f>SUMIFS('Raw Data'!C:C, 'Raw Data'!A:A, "&lt;&gt;")</f>
        <v>804800</v>
      </c>
      <c r="C4" s="27">
        <f>SUMIFS('Raw Data'!D:D, 'Raw Data'!A:A, "&lt;&gt;")</f>
        <v>594000</v>
      </c>
      <c r="D4" s="27">
        <f>SUMIFS('Raw Data'!E:E, 'Raw Data'!A:A, "&lt;&gt;")</f>
        <v>72780</v>
      </c>
      <c r="E4" s="27">
        <f>SUMIFS('Raw Data'!F:F, 'Raw Data'!A:A, "&lt;&gt;")</f>
        <v>50650</v>
      </c>
      <c r="F4" s="27">
        <f>SUMIFS('Raw Data'!G:G, 'Raw Data'!A:A, "&lt;&gt;")</f>
        <v>11940</v>
      </c>
      <c r="G4" s="27">
        <f>SUMIFS('Raw Data'!H:H, 'Raw Data'!A:A, "&lt;&gt;")</f>
        <v>10190</v>
      </c>
      <c r="H4" s="27">
        <f>SUMIFS('Raw Data'!I:I, 'Raw Data'!A:A, "&lt;&gt;")</f>
        <v>20416</v>
      </c>
      <c r="I4" s="28">
        <f>AVERAGEIFS('Raw Data'!J:J, 'Raw Data'!A:A, "&lt;&gt;")</f>
        <v>9.7343558873768984E-2</v>
      </c>
      <c r="J4" s="28">
        <f>AVERAGEIFS('Raw Data'!K:K, 'Raw Data'!A:A, "&lt;&gt;")</f>
        <v>2.0377854598245031E-2</v>
      </c>
      <c r="M4" s="8">
        <f>SUM('Raw Data'!I:I)/SUM('Raw Data'!C:C)</f>
        <v>2.5367793240556661E-2</v>
      </c>
    </row>
    <row r="6" spans="2:13" x14ac:dyDescent="0.25">
      <c r="B6" s="29"/>
      <c r="C6" s="31" t="s">
        <v>25</v>
      </c>
      <c r="D6" s="31"/>
      <c r="E6" s="31"/>
      <c r="F6" s="31"/>
      <c r="G6" s="31"/>
      <c r="H6" s="31"/>
      <c r="I6" s="31"/>
      <c r="J6" s="31"/>
      <c r="K6" s="29"/>
    </row>
    <row r="7" spans="2:13" x14ac:dyDescent="0.25">
      <c r="B7" s="22" t="s">
        <v>1</v>
      </c>
      <c r="C7" s="23" t="s">
        <v>15</v>
      </c>
      <c r="D7" s="23" t="s">
        <v>16</v>
      </c>
      <c r="E7" s="23" t="s">
        <v>17</v>
      </c>
      <c r="F7" s="23" t="s">
        <v>18</v>
      </c>
      <c r="G7" s="23" t="s">
        <v>19</v>
      </c>
      <c r="H7" s="23" t="s">
        <v>20</v>
      </c>
      <c r="I7" s="24" t="s">
        <v>21</v>
      </c>
      <c r="J7" s="23" t="s">
        <v>22</v>
      </c>
      <c r="K7" s="23" t="s">
        <v>23</v>
      </c>
    </row>
    <row r="8" spans="2:13" x14ac:dyDescent="0.25">
      <c r="B8" s="25" t="str" cm="1">
        <f t="array" ref="B8:B11">_xlfn.UNIQUE(_xlfn._xlws.FILTER('Raw Data'!B2:B1000, 'Raw Data'!B2:B1000&lt;&gt;""))</f>
        <v>Instagram</v>
      </c>
      <c r="C8" s="25">
        <f>SUMIFS('Raw Data'!C:C, 'Raw Data'!B:B, B8, 'Raw Data'!A:A, "&lt;&gt;")</f>
        <v>177000</v>
      </c>
      <c r="D8" s="25">
        <f>SUMIFS('Raw Data'!D:D, 'Raw Data'!B:B, B8, 'Raw Data'!A:A, "&lt;&gt;")</f>
        <v>123900</v>
      </c>
      <c r="E8" s="25">
        <f>SUMIFS('Raw Data'!E:E, 'Raw Data'!B:B, B8, 'Raw Data'!A:A, "&lt;&gt;")</f>
        <v>22800</v>
      </c>
      <c r="F8" s="25">
        <f>SUMIFS('Raw Data'!F:F, 'Raw Data'!B:B, B8, 'Raw Data'!A:A, "&lt;&gt;")</f>
        <v>15050</v>
      </c>
      <c r="G8" s="25">
        <f>SUMIFS('Raw Data'!G:G, 'Raw Data'!B:B, B8, 'Raw Data'!A:A, "&lt;&gt;")</f>
        <v>4290</v>
      </c>
      <c r="H8" s="25">
        <f>SUMIFS('Raw Data'!H:H, 'Raw Data'!B:B, B8, 'Raw Data'!A:A, "&lt;&gt;")</f>
        <v>3460</v>
      </c>
      <c r="I8" s="25">
        <f>SUMIFS('Raw Data'!I:I, 'Raw Data'!B:B, B8, 'Raw Data'!A:A, "&lt;&gt;")</f>
        <v>3025</v>
      </c>
      <c r="J8" s="26">
        <f>AVERAGEIFS('Raw Data'!J:J, 'Raw Data'!B:B, B8, 'Raw Data'!A:A, "&lt;&gt;")</f>
        <v>0.12781426611224631</v>
      </c>
      <c r="K8" s="26">
        <f>AVERAGEIFS('Raw Data'!K:K, 'Raw Data'!B:B, B8, 'Raw Data'!A:A, "&lt;&gt;")</f>
        <v>1.6933037773985912E-2</v>
      </c>
    </row>
    <row r="9" spans="2:13" x14ac:dyDescent="0.25">
      <c r="B9" s="25" t="str">
        <v>Facebook</v>
      </c>
      <c r="C9" s="25">
        <f>SUMIFS('Raw Data'!C:C, 'Raw Data'!B:B, B9, 'Raw Data'!A:A, "&lt;&gt;")</f>
        <v>135900</v>
      </c>
      <c r="D9" s="25">
        <f>SUMIFS('Raw Data'!D:D, 'Raw Data'!B:B, B9, 'Raw Data'!A:A, "&lt;&gt;")</f>
        <v>103300</v>
      </c>
      <c r="E9" s="25">
        <f>SUMIFS('Raw Data'!E:E, 'Raw Data'!B:B, B9, 'Raw Data'!A:A, "&lt;&gt;")</f>
        <v>15050</v>
      </c>
      <c r="F9" s="25">
        <f>SUMIFS('Raw Data'!F:F, 'Raw Data'!B:B, B9, 'Raw Data'!A:A, "&lt;&gt;")</f>
        <v>9990</v>
      </c>
      <c r="G9" s="25">
        <f>SUMIFS('Raw Data'!G:G, 'Raw Data'!B:B, B9, 'Raw Data'!A:A, "&lt;&gt;")</f>
        <v>3110</v>
      </c>
      <c r="H9" s="25">
        <f>SUMIFS('Raw Data'!H:H, 'Raw Data'!B:B, B9, 'Raw Data'!A:A, "&lt;&gt;")</f>
        <v>1950</v>
      </c>
      <c r="I9" s="25">
        <f>SUMIFS('Raw Data'!I:I, 'Raw Data'!B:B, B9, 'Raw Data'!A:A, "&lt;&gt;")</f>
        <v>2155</v>
      </c>
      <c r="J9" s="26">
        <f>AVERAGEIFS('Raw Data'!J:J, 'Raw Data'!B:B, B9, 'Raw Data'!A:A, "&lt;&gt;")</f>
        <v>0.11015088880201718</v>
      </c>
      <c r="K9" s="26">
        <f>AVERAGEIFS('Raw Data'!K:K, 'Raw Data'!B:B, B9, 'Raw Data'!A:A, "&lt;&gt;")</f>
        <v>1.5774649713172155E-2</v>
      </c>
    </row>
    <row r="10" spans="2:13" x14ac:dyDescent="0.25">
      <c r="B10" s="25" t="str">
        <v>Twitter</v>
      </c>
      <c r="C10" s="25">
        <f>SUMIFS('Raw Data'!C:C, 'Raw Data'!B:B, B10, 'Raw Data'!A:A, "&lt;&gt;")</f>
        <v>104900</v>
      </c>
      <c r="D10" s="25">
        <f>SUMIFS('Raw Data'!D:D, 'Raw Data'!B:B, B10, 'Raw Data'!A:A, "&lt;&gt;")</f>
        <v>96300</v>
      </c>
      <c r="E10" s="25">
        <f>SUMIFS('Raw Data'!E:E, 'Raw Data'!B:B, B10, 'Raw Data'!A:A, "&lt;&gt;")</f>
        <v>8880</v>
      </c>
      <c r="F10" s="25">
        <f>SUMIFS('Raw Data'!F:F, 'Raw Data'!B:B, B10, 'Raw Data'!A:A, "&lt;&gt;")</f>
        <v>6360</v>
      </c>
      <c r="G10" s="25">
        <f>SUMIFS('Raw Data'!G:G, 'Raw Data'!B:B, B10, 'Raw Data'!A:A, "&lt;&gt;")</f>
        <v>1560</v>
      </c>
      <c r="H10" s="25">
        <f>SUMIFS('Raw Data'!H:H, 'Raw Data'!B:B, B10, 'Raw Data'!A:A, "&lt;&gt;")</f>
        <v>960</v>
      </c>
      <c r="I10" s="25">
        <f>SUMIFS('Raw Data'!I:I, 'Raw Data'!B:B, B10, 'Raw Data'!A:A, "&lt;&gt;")</f>
        <v>1336</v>
      </c>
      <c r="J10" s="26">
        <f>AVERAGEIFS('Raw Data'!J:J, 'Raw Data'!B:B, B10, 'Raw Data'!A:A, "&lt;&gt;")</f>
        <v>8.445834799994946E-2</v>
      </c>
      <c r="K10" s="26">
        <f>AVERAGEIFS('Raw Data'!K:K, 'Raw Data'!B:B, B10, 'Raw Data'!A:A, "&lt;&gt;")</f>
        <v>1.2727886632850127E-2</v>
      </c>
    </row>
    <row r="11" spans="2:13" x14ac:dyDescent="0.25">
      <c r="B11" s="25" t="str">
        <v>YouTube</v>
      </c>
      <c r="C11" s="25">
        <f>SUMIFS('Raw Data'!C:C, 'Raw Data'!B:B, B11, 'Raw Data'!A:A, "&lt;&gt;")</f>
        <v>387000</v>
      </c>
      <c r="D11" s="25">
        <f>SUMIFS('Raw Data'!D:D, 'Raw Data'!B:B, B11, 'Raw Data'!A:A, "&lt;&gt;")</f>
        <v>270500</v>
      </c>
      <c r="E11" s="25">
        <f>SUMIFS('Raw Data'!E:E, 'Raw Data'!B:B, B11, 'Raw Data'!A:A, "&lt;&gt;")</f>
        <v>26050</v>
      </c>
      <c r="F11" s="25">
        <f>SUMIFS('Raw Data'!F:F, 'Raw Data'!B:B, B11, 'Raw Data'!A:A, "&lt;&gt;")</f>
        <v>19250</v>
      </c>
      <c r="G11" s="25">
        <f>SUMIFS('Raw Data'!G:G, 'Raw Data'!B:B, B11, 'Raw Data'!A:A, "&lt;&gt;")</f>
        <v>2980</v>
      </c>
      <c r="H11" s="25">
        <f>SUMIFS('Raw Data'!H:H, 'Raw Data'!B:B, B11, 'Raw Data'!A:A, "&lt;&gt;")</f>
        <v>3820</v>
      </c>
      <c r="I11" s="25">
        <f>SUMIFS('Raw Data'!I:I, 'Raw Data'!B:B, B11, 'Raw Data'!A:A, "&lt;&gt;")</f>
        <v>13900</v>
      </c>
      <c r="J11" s="26">
        <f>AVERAGEIFS('Raw Data'!J:J, 'Raw Data'!B:B, B11, 'Raw Data'!A:A, "&lt;&gt;")</f>
        <v>6.6950732580863079E-2</v>
      </c>
      <c r="K11" s="26">
        <f>AVERAGEIFS('Raw Data'!K:K, 'Raw Data'!B:B, B11, 'Raw Data'!A:A, "&lt;&gt;")</f>
        <v>3.6075844272971926E-2</v>
      </c>
    </row>
    <row r="12" spans="2:13" x14ac:dyDescent="0.25">
      <c r="I12" s="9"/>
    </row>
    <row r="13" spans="2:13" x14ac:dyDescent="0.25">
      <c r="B13" s="10" t="s">
        <v>0</v>
      </c>
      <c r="C13" s="10" t="s">
        <v>26</v>
      </c>
      <c r="I13" s="9"/>
    </row>
    <row r="14" spans="2:13" x14ac:dyDescent="0.25">
      <c r="B14" s="11">
        <v>45566</v>
      </c>
      <c r="C14" s="12">
        <f>SUMIF('Raw Data'!A:A, Summary!B14, 'Raw Data'!C:C)</f>
        <v>54400</v>
      </c>
      <c r="I14" s="9"/>
    </row>
    <row r="15" spans="2:13" x14ac:dyDescent="0.25">
      <c r="B15" s="11">
        <v>45567</v>
      </c>
      <c r="C15" s="13">
        <f>SUMIF('Raw Data'!A:A, Summary!B15, 'Raw Data'!C:C)</f>
        <v>56300</v>
      </c>
    </row>
    <row r="16" spans="2:13" x14ac:dyDescent="0.25">
      <c r="B16" s="11">
        <v>45568</v>
      </c>
      <c r="C16" s="14">
        <f>SUMIF('Raw Data'!A:A, Summary!B16, 'Raw Data'!C:C)</f>
        <v>58200</v>
      </c>
    </row>
    <row r="17" spans="2:3" x14ac:dyDescent="0.25">
      <c r="B17" s="11">
        <v>45569</v>
      </c>
      <c r="C17" s="13">
        <f>SUMIF('Raw Data'!A:A, Summary!B17, 'Raw Data'!C:C)</f>
        <v>60200</v>
      </c>
    </row>
    <row r="18" spans="2:3" x14ac:dyDescent="0.25">
      <c r="B18" s="11">
        <v>45570</v>
      </c>
      <c r="C18" s="14">
        <f>SUMIF('Raw Data'!A:A, Summary!B18, 'Raw Data'!C:C)</f>
        <v>62200</v>
      </c>
    </row>
    <row r="19" spans="2:3" x14ac:dyDescent="0.25">
      <c r="B19" s="11">
        <v>45571</v>
      </c>
      <c r="C19" s="13">
        <f>SUMIF('Raw Data'!A:A, Summary!B19, 'Raw Data'!C:C)</f>
        <v>64100</v>
      </c>
    </row>
    <row r="20" spans="2:3" x14ac:dyDescent="0.25">
      <c r="B20" s="11">
        <v>45572</v>
      </c>
      <c r="C20" s="14">
        <f>SUMIF('Raw Data'!A:A, Summary!B20, 'Raw Data'!C:C)</f>
        <v>67300</v>
      </c>
    </row>
    <row r="21" spans="2:3" x14ac:dyDescent="0.25">
      <c r="B21" s="11">
        <v>45573</v>
      </c>
      <c r="C21" s="13">
        <f>SUMIF('Raw Data'!A:A, Summary!B21, 'Raw Data'!C:C)</f>
        <v>70300</v>
      </c>
    </row>
    <row r="22" spans="2:3" x14ac:dyDescent="0.25">
      <c r="B22" s="11">
        <v>45574</v>
      </c>
      <c r="C22" s="14">
        <f>SUMIF('Raw Data'!A:A, Summary!B22, 'Raw Data'!C:C)</f>
        <v>73200</v>
      </c>
    </row>
    <row r="23" spans="2:3" x14ac:dyDescent="0.25">
      <c r="B23" s="11">
        <v>45575</v>
      </c>
      <c r="C23" s="13">
        <f>SUMIF('Raw Data'!A:A, Summary!B23, 'Raw Data'!C:C)</f>
        <v>76500</v>
      </c>
    </row>
    <row r="24" spans="2:3" x14ac:dyDescent="0.25">
      <c r="B24" s="11">
        <v>45576</v>
      </c>
      <c r="C24" s="14">
        <f>SUMIF('Raw Data'!A:A, Summary!B24, 'Raw Data'!C:C)</f>
        <v>79600</v>
      </c>
    </row>
    <row r="25" spans="2:3" x14ac:dyDescent="0.25">
      <c r="B25" s="15">
        <v>45577</v>
      </c>
      <c r="C25" s="16">
        <f>SUMIF('Raw Data'!A:A, Summary!B25, 'Raw Data'!C:C)</f>
        <v>82500</v>
      </c>
    </row>
  </sheetData>
  <mergeCells count="3">
    <mergeCell ref="B2:J2"/>
    <mergeCell ref="C6:J6"/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Baskaran and Hareendra Associates</dc:creator>
  <cp:lastModifiedBy>Office Baskaran and Hareendra Associates</cp:lastModifiedBy>
  <dcterms:created xsi:type="dcterms:W3CDTF">2026-02-07T06:15:56Z</dcterms:created>
  <dcterms:modified xsi:type="dcterms:W3CDTF">2026-03-14T10:02:04Z</dcterms:modified>
</cp:coreProperties>
</file>